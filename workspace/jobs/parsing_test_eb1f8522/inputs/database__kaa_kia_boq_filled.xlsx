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onoz\Downloads\"/>
    </mc:Choice>
  </mc:AlternateContent>
  <xr:revisionPtr revIDLastSave="0" documentId="13_ncr:1_{E5D058DC-AA0D-442D-B6CF-751F4ACD423C}" xr6:coauthVersionLast="47" xr6:coauthVersionMax="47" xr10:uidLastSave="{00000000-0000-0000-0000-000000000000}"/>
  <bookViews>
    <workbookView xWindow="-120" yWindow="-120" windowWidth="20730" windowHeight="11760" firstSheet="8" activeTab="9" xr2:uid="{00000000-000D-0000-FFFF-FFFF00000000}"/>
  </bookViews>
  <sheets>
    <sheet name="BoQ Summary" sheetId="1" r:id="rId1"/>
    <sheet name="BoQ 1; Preliminaries" sheetId="2" r:id="rId2"/>
    <sheet name="BoQ 4; Site Clearance" sheetId="3" r:id="rId3"/>
    <sheet name="BoQ 5; Earthworks" sheetId="4" r:id="rId4"/>
    <sheet name="BoQ 7; Excavation" sheetId="5" r:id="rId5"/>
    <sheet name="BoQ 10&amp;20; Gravel &amp; RDfurniture" sheetId="6" r:id="rId6"/>
    <sheet name="BoQ 22; Dayworks" sheetId="7" r:id="rId7"/>
    <sheet name="Engineers office" sheetId="8" r:id="rId8"/>
    <sheet name="Engineers lab equipment" sheetId="9" r:id="rId9"/>
    <sheet name="Survey Equipment" sheetId="10" r:id="rId10"/>
    <sheet name="Contractor's Equipment" sheetId="11" r:id="rId11"/>
    <sheet name="Basis of Rate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1" l="1"/>
  <c r="F19" i="11"/>
  <c r="F18" i="11"/>
  <c r="F17" i="11"/>
  <c r="F16" i="11"/>
  <c r="F15" i="11"/>
  <c r="F14" i="11"/>
  <c r="F13" i="11"/>
  <c r="F21" i="11" s="1"/>
  <c r="F12" i="11"/>
  <c r="F11" i="11"/>
  <c r="F10" i="11"/>
  <c r="F9" i="11"/>
  <c r="F8" i="11"/>
  <c r="F7" i="11"/>
  <c r="F22" i="10"/>
  <c r="F21" i="10"/>
  <c r="F20" i="10"/>
  <c r="F19" i="10"/>
  <c r="F18" i="10"/>
  <c r="F17" i="10"/>
  <c r="F16" i="10"/>
  <c r="F15" i="10"/>
  <c r="F14" i="10"/>
  <c r="F13" i="10"/>
  <c r="F12" i="10"/>
  <c r="F11" i="10"/>
  <c r="F10" i="10"/>
  <c r="F9" i="10"/>
  <c r="F8" i="10"/>
  <c r="F7" i="10"/>
  <c r="F139" i="9"/>
  <c r="F138" i="9"/>
  <c r="F137" i="9"/>
  <c r="F136" i="9"/>
  <c r="F135" i="9"/>
  <c r="F134" i="9"/>
  <c r="F133" i="9"/>
  <c r="F132" i="9"/>
  <c r="F130" i="9"/>
  <c r="F129" i="9"/>
  <c r="F128" i="9"/>
  <c r="F127" i="9"/>
  <c r="F126"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79" i="9"/>
  <c r="F78" i="9"/>
  <c r="F77" i="9"/>
  <c r="F76" i="9"/>
  <c r="F75" i="9"/>
  <c r="F73" i="9"/>
  <c r="F72" i="9"/>
  <c r="F71" i="9"/>
  <c r="F70" i="9"/>
  <c r="F69" i="9"/>
  <c r="F68" i="9"/>
  <c r="F67" i="9"/>
  <c r="F66" i="9"/>
  <c r="F64" i="9"/>
  <c r="F63" i="9"/>
  <c r="F62" i="9"/>
  <c r="F60" i="9"/>
  <c r="F59" i="9"/>
  <c r="F57" i="9"/>
  <c r="F56" i="9"/>
  <c r="F55" i="9"/>
  <c r="F54" i="9"/>
  <c r="F53" i="9"/>
  <c r="F52" i="9"/>
  <c r="F51" i="9"/>
  <c r="F50" i="9"/>
  <c r="F49" i="9"/>
  <c r="F48" i="9"/>
  <c r="F46" i="9"/>
  <c r="F45" i="9"/>
  <c r="F44" i="9"/>
  <c r="F43" i="9"/>
  <c r="F42" i="9"/>
  <c r="F41" i="9"/>
  <c r="F40" i="9"/>
  <c r="F39" i="9"/>
  <c r="F38" i="9"/>
  <c r="F37" i="9"/>
  <c r="F36" i="9"/>
  <c r="F35" i="9"/>
  <c r="F34" i="9"/>
  <c r="F33" i="9"/>
  <c r="F32" i="9"/>
  <c r="F30" i="9"/>
  <c r="F29" i="9"/>
  <c r="F28" i="9"/>
  <c r="F27" i="9"/>
  <c r="F26" i="9"/>
  <c r="F25" i="9"/>
  <c r="F24" i="9"/>
  <c r="F23" i="9"/>
  <c r="F22" i="9"/>
  <c r="F21" i="9"/>
  <c r="F20" i="9"/>
  <c r="F19" i="9"/>
  <c r="F18" i="9"/>
  <c r="F17" i="9"/>
  <c r="F16" i="9"/>
  <c r="F15" i="9"/>
  <c r="F14" i="9"/>
  <c r="F13" i="9"/>
  <c r="F12" i="9"/>
  <c r="F11" i="9"/>
  <c r="F10" i="9"/>
  <c r="F140" i="9" s="1"/>
  <c r="F9" i="9"/>
  <c r="F8" i="9"/>
  <c r="F7" i="9"/>
  <c r="F31" i="8"/>
  <c r="F30" i="8"/>
  <c r="F29" i="8"/>
  <c r="F28" i="8"/>
  <c r="F27" i="8"/>
  <c r="F26" i="8"/>
  <c r="F25" i="8"/>
  <c r="F24" i="8"/>
  <c r="F23" i="8"/>
  <c r="F22" i="8"/>
  <c r="F21" i="8"/>
  <c r="F20" i="8"/>
  <c r="F19" i="8"/>
  <c r="F18" i="8"/>
  <c r="F17" i="8"/>
  <c r="F16" i="8"/>
  <c r="F15" i="8"/>
  <c r="F14" i="8"/>
  <c r="F13" i="8"/>
  <c r="F12" i="8"/>
  <c r="F11" i="8"/>
  <c r="F10" i="8"/>
  <c r="F9" i="8"/>
  <c r="F8" i="8"/>
  <c r="F7" i="8"/>
  <c r="F152" i="7"/>
  <c r="F151" i="7"/>
  <c r="F150" i="7"/>
  <c r="F149" i="7"/>
  <c r="F148" i="7"/>
  <c r="F147" i="7"/>
  <c r="F145" i="7"/>
  <c r="F144" i="7"/>
  <c r="F143" i="7"/>
  <c r="F142" i="7"/>
  <c r="F140" i="7"/>
  <c r="F139" i="7"/>
  <c r="F138" i="7"/>
  <c r="F137" i="7"/>
  <c r="F136" i="7"/>
  <c r="F134" i="7"/>
  <c r="F133" i="7"/>
  <c r="F132" i="7"/>
  <c r="F131" i="7"/>
  <c r="F130" i="7"/>
  <c r="F129" i="7"/>
  <c r="F128" i="7"/>
  <c r="F126" i="7"/>
  <c r="F125" i="7"/>
  <c r="F124" i="7"/>
  <c r="F123" i="7"/>
  <c r="F121" i="7"/>
  <c r="F120" i="7"/>
  <c r="F118" i="7"/>
  <c r="F117" i="7"/>
  <c r="F115" i="7"/>
  <c r="F114" i="7"/>
  <c r="F112" i="7"/>
  <c r="F111" i="7"/>
  <c r="F109" i="7"/>
  <c r="F108" i="7"/>
  <c r="F107" i="7"/>
  <c r="F106" i="7"/>
  <c r="F105" i="7"/>
  <c r="F104" i="7"/>
  <c r="F103" i="7"/>
  <c r="F102" i="7"/>
  <c r="F101" i="7"/>
  <c r="F100" i="7"/>
  <c r="F99" i="7"/>
  <c r="F97" i="7"/>
  <c r="F96" i="7"/>
  <c r="F95" i="7"/>
  <c r="F94" i="7"/>
  <c r="F93" i="7"/>
  <c r="F92" i="7"/>
  <c r="F90" i="7"/>
  <c r="F89" i="7"/>
  <c r="F88" i="7"/>
  <c r="F87" i="7"/>
  <c r="F86" i="7"/>
  <c r="F85" i="7"/>
  <c r="F84" i="7"/>
  <c r="F83" i="7"/>
  <c r="F82" i="7"/>
  <c r="F81" i="7"/>
  <c r="F79" i="7"/>
  <c r="F78" i="7"/>
  <c r="F77" i="7"/>
  <c r="F75" i="7"/>
  <c r="F73" i="7"/>
  <c r="F72" i="7"/>
  <c r="F70" i="7"/>
  <c r="F69" i="7"/>
  <c r="F67" i="7"/>
  <c r="F66" i="7"/>
  <c r="F65" i="7"/>
  <c r="F64" i="7"/>
  <c r="F63" i="7"/>
  <c r="F62" i="7"/>
  <c r="F60" i="7"/>
  <c r="F59" i="7"/>
  <c r="F57" i="7"/>
  <c r="F56" i="7"/>
  <c r="F53" i="7"/>
  <c r="F51" i="7"/>
  <c r="F50" i="7"/>
  <c r="F48" i="7"/>
  <c r="F46" i="7"/>
  <c r="F44" i="7"/>
  <c r="F42" i="7"/>
  <c r="F40" i="7"/>
  <c r="F38" i="7"/>
  <c r="F37" i="7"/>
  <c r="F36" i="7"/>
  <c r="F34" i="7"/>
  <c r="F32" i="7"/>
  <c r="F30" i="7"/>
  <c r="F28" i="7"/>
  <c r="F26" i="7"/>
  <c r="F24" i="7"/>
  <c r="F23" i="7"/>
  <c r="F21" i="7"/>
  <c r="F20" i="7"/>
  <c r="F19" i="7"/>
  <c r="F17" i="7"/>
  <c r="F16" i="7"/>
  <c r="F14" i="7"/>
  <c r="F13" i="7"/>
  <c r="F11" i="7"/>
  <c r="F10" i="7"/>
  <c r="F9" i="7"/>
  <c r="F26" i="6"/>
  <c r="F25" i="6"/>
  <c r="F24" i="6"/>
  <c r="F23" i="6"/>
  <c r="F22" i="6"/>
  <c r="F21" i="6"/>
  <c r="F20" i="6"/>
  <c r="F19" i="6"/>
  <c r="F18" i="6"/>
  <c r="F17" i="6"/>
  <c r="F16" i="6"/>
  <c r="F15" i="6"/>
  <c r="F14" i="6"/>
  <c r="F13" i="6"/>
  <c r="F28" i="6" s="1"/>
  <c r="C12" i="1" s="1"/>
  <c r="F9" i="6"/>
  <c r="F7" i="6"/>
  <c r="F13" i="5"/>
  <c r="C10" i="1" s="1"/>
  <c r="F11" i="5"/>
  <c r="F10" i="5"/>
  <c r="F9" i="5"/>
  <c r="F8" i="5"/>
  <c r="F7" i="5"/>
  <c r="F12" i="4"/>
  <c r="F11" i="4"/>
  <c r="F10" i="4"/>
  <c r="F9" i="4"/>
  <c r="F8" i="4"/>
  <c r="F14" i="4" s="1"/>
  <c r="C9" i="1" s="1"/>
  <c r="F7" i="4"/>
  <c r="F11" i="3"/>
  <c r="F10" i="3"/>
  <c r="F9" i="3"/>
  <c r="F8" i="3"/>
  <c r="F7" i="3"/>
  <c r="F13" i="3" s="1"/>
  <c r="C8" i="1" s="1"/>
  <c r="F19" i="2"/>
  <c r="F18" i="2"/>
  <c r="F17" i="2"/>
  <c r="F16" i="2"/>
  <c r="F15" i="2"/>
  <c r="F14" i="2"/>
  <c r="F13" i="2"/>
  <c r="F12" i="2"/>
  <c r="E11" i="2"/>
  <c r="F11" i="2" s="1"/>
  <c r="F21" i="2" s="1"/>
  <c r="C7" i="1" s="1"/>
  <c r="F10" i="2"/>
  <c r="F9" i="2"/>
  <c r="F8" i="2"/>
  <c r="F7" i="2"/>
  <c r="C11" i="1"/>
  <c r="F153" i="7" l="1"/>
  <c r="C13" i="1" s="1"/>
  <c r="C14" i="1" s="1"/>
  <c r="C16" i="1" l="1"/>
  <c r="C18" i="1" s="1"/>
  <c r="C20" i="1" l="1"/>
  <c r="C22" i="1" s="1"/>
  <c r="C24" i="1" l="1"/>
  <c r="C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100-000001000000}">
      <text>
        <r>
          <rPr>
            <sz val="11"/>
            <color theme="1"/>
            <rFont val="Calibri"/>
            <family val="2"/>
            <scheme val="minor"/>
          </rPr>
          <t>Estimate for maintenance of client-provided container office incl. electricity, water and Starlink over contract duration. Basis: Starlink Kenya pricing and local utility/maintenance allowance. Source group: Starlink official and local market.</t>
        </r>
      </text>
    </comment>
    <comment ref="E8" authorId="0" shapeId="0" xr:uid="{00000000-0006-0000-0100-000002000000}">
      <text>
        <r>
          <rPr>
            <sz val="11"/>
            <color theme="1"/>
            <rFont val="Calibri"/>
            <family val="2"/>
            <scheme val="minor"/>
          </rPr>
          <t>Estimated lump sum for ablution block based on small masonry/RC ancillary block local construction rates.</t>
        </r>
      </text>
    </comment>
    <comment ref="E9" authorId="0" shapeId="0" xr:uid="{00000000-0006-0000-0100-000003000000}">
      <text>
        <r>
          <rPr>
            <sz val="11"/>
            <color theme="1"/>
            <rFont val="Calibri"/>
            <family val="2"/>
            <scheme val="minor"/>
          </rPr>
          <t>Estimated lump sum for reinforced concrete septic tank 25,000L based on local tank installation rates and concrete handbook benchmarks.</t>
        </r>
      </text>
    </comment>
    <comment ref="E11" authorId="0" shapeId="0" xr:uid="{00000000-0006-0000-0100-000004000000}">
      <text>
        <r>
          <rPr>
            <sz val="11"/>
            <color theme="1"/>
            <rFont val="Calibri"/>
            <family val="2"/>
            <scheme val="minor"/>
          </rPr>
          <t>15% contractor OH&amp;P applied to PC Sum in row 10.</t>
        </r>
      </text>
    </comment>
    <comment ref="E12" authorId="0" shapeId="0" xr:uid="{00000000-0006-0000-0100-000005000000}">
      <text>
        <r>
          <rPr>
            <sz val="11"/>
            <color theme="1"/>
            <rFont val="Calibri"/>
            <family val="2"/>
            <scheme val="minor"/>
          </rPr>
          <t>Estimated day hire for boat services in Kisumu for water survey works.</t>
        </r>
      </text>
    </comment>
    <comment ref="E13" authorId="0" shapeId="0" xr:uid="{00000000-0006-0000-0100-000006000000}">
      <text>
        <r>
          <rPr>
            <sz val="11"/>
            <color theme="1"/>
            <rFont val="Calibri"/>
            <family val="2"/>
            <scheme val="minor"/>
          </rPr>
          <t>Estimated lump sum for detailed construction/shop drawings.</t>
        </r>
      </text>
    </comment>
    <comment ref="E14" authorId="0" shapeId="0" xr:uid="{00000000-0006-0000-0100-000007000000}">
      <text>
        <r>
          <rPr>
            <sz val="11"/>
            <color theme="1"/>
            <rFont val="Calibri"/>
            <family val="2"/>
            <scheme val="minor"/>
          </rPr>
          <t>Estimated vehicle-month for new 4WD double cab incl. driver, fuel, maintenance and insurance; based on local pickup hire and ownership equivalents.</t>
        </r>
      </text>
    </comment>
    <comment ref="E15" authorId="0" shapeId="0" xr:uid="{00000000-0006-0000-0100-000008000000}">
      <text>
        <r>
          <rPr>
            <sz val="11"/>
            <color theme="1"/>
            <rFont val="Calibri"/>
            <family val="2"/>
            <scheme val="minor"/>
          </rPr>
          <t>Estimated running cost per km over 5,000 km inclusive of fuel, maintenance, insurance and driver.</t>
        </r>
      </text>
    </comment>
    <comment ref="E16" authorId="0" shapeId="0" xr:uid="{00000000-0006-0000-0100-000009000000}">
      <text>
        <r>
          <rPr>
            <sz val="11"/>
            <color theme="1"/>
            <rFont val="Calibri"/>
            <family val="2"/>
            <scheme val="minor"/>
          </rPr>
          <t>Estimated monthly provision for automatic level machine for Engineer's use.</t>
        </r>
      </text>
    </comment>
    <comment ref="E17" authorId="0" shapeId="0" xr:uid="{00000000-0006-0000-0100-00000A000000}">
      <text>
        <r>
          <rPr>
            <sz val="11"/>
            <color theme="1"/>
            <rFont val="Calibri"/>
            <family val="2"/>
            <scheme val="minor"/>
          </rPr>
          <t>Estimated supply/install rate for project signboard.</t>
        </r>
      </text>
    </comment>
    <comment ref="E18" authorId="0" shapeId="0" xr:uid="{00000000-0006-0000-0100-00000B000000}">
      <text>
        <r>
          <rPr>
            <sz val="11"/>
            <color theme="1"/>
            <rFont val="Calibri"/>
            <family val="2"/>
            <scheme val="minor"/>
          </rPr>
          <t>As stated in description: airtime worth KES 100,000 per month.</t>
        </r>
      </text>
    </comment>
    <comment ref="E19" authorId="0" shapeId="0" xr:uid="{00000000-0006-0000-0100-00000C000000}">
      <text>
        <r>
          <rPr>
            <sz val="11"/>
            <color theme="1"/>
            <rFont val="Calibri"/>
            <family val="2"/>
            <scheme val="minor"/>
          </rPr>
          <t>Estimated lump sum for disconnection/reconnection of final approach lights by specialist electrical/airfield contractor.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200-000001000000}">
      <text>
        <r>
          <rPr>
            <sz val="11"/>
            <color theme="1"/>
            <rFont val="Calibri"/>
            <family val="2"/>
            <scheme val="minor"/>
          </rPr>
          <t>Derived from Nyanza Region CEM 2025 clearing vegetation mechanically at KES 106/m2 converted to Ha (x10,000).</t>
        </r>
      </text>
    </comment>
    <comment ref="E8" authorId="0" shapeId="0" xr:uid="{00000000-0006-0000-0200-000002000000}">
      <text>
        <r>
          <rPr>
            <sz val="11"/>
            <color theme="1"/>
            <rFont val="Calibri"/>
            <family val="2"/>
            <scheme val="minor"/>
          </rPr>
          <t>Nyanza Region CEM 2025 topsoil stripping to 200mm: KES 350/m3 (incl. OH&amp;P).</t>
        </r>
      </text>
    </comment>
    <comment ref="E9" authorId="0" shapeId="0" xr:uid="{00000000-0006-0000-0200-000003000000}">
      <text>
        <r>
          <rPr>
            <sz val="11"/>
            <color theme="1"/>
            <rFont val="Calibri"/>
            <family val="2"/>
            <scheme val="minor"/>
          </rPr>
          <t>Nyanza Region CEM 2025 concrete demolition to spoil: KES 1,305/m3.</t>
        </r>
      </text>
    </comment>
    <comment ref="E10" authorId="0" shapeId="0" xr:uid="{00000000-0006-0000-0200-000004000000}">
      <text>
        <r>
          <rPr>
            <sz val="11"/>
            <color theme="1"/>
            <rFont val="Calibri"/>
            <family val="2"/>
            <scheme val="minor"/>
          </rPr>
          <t>Estimated rate for dismantling existing fence and storing salvaged materials.</t>
        </r>
      </text>
    </comment>
    <comment ref="E11" authorId="0" shapeId="0" xr:uid="{00000000-0006-0000-0200-000005000000}">
      <text>
        <r>
          <rPr>
            <sz val="11"/>
            <color theme="1"/>
            <rFont val="Calibri"/>
            <family val="2"/>
            <scheme val="minor"/>
          </rPr>
          <t>Estimated rate for relocating existing chainlink/barbed wire fence incl. dismantling and re-erection.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300-000001000000}">
      <text>
        <r>
          <rPr>
            <sz val="11"/>
            <color theme="1"/>
            <rFont val="Calibri"/>
            <family val="2"/>
            <scheme val="minor"/>
          </rPr>
          <t>Nyanza CEM 2025 fill in soft material and compact (soil purchased): KES 1,412/m3.</t>
        </r>
      </text>
    </comment>
    <comment ref="E8" authorId="0" shapeId="0" xr:uid="{00000000-0006-0000-0300-000002000000}">
      <text>
        <r>
          <rPr>
            <sz val="11"/>
            <color theme="1"/>
            <rFont val="Calibri"/>
            <family val="2"/>
            <scheme val="minor"/>
          </rPr>
          <t>Estimated extra-over for compaction of top 300mm to 100% MDD.</t>
        </r>
      </text>
    </comment>
    <comment ref="E9" authorId="0" shapeId="0" xr:uid="{00000000-0006-0000-0300-000003000000}">
      <text>
        <r>
          <rPr>
            <sz val="11"/>
            <color theme="1"/>
            <rFont val="Calibri"/>
            <family val="2"/>
            <scheme val="minor"/>
          </rPr>
          <t>Nyanza CEM 2025 cut to spoil in soft (mechanical): KES 296/m3.</t>
        </r>
      </text>
    </comment>
    <comment ref="E10" authorId="0" shapeId="0" xr:uid="{00000000-0006-0000-0300-000004000000}">
      <text>
        <r>
          <rPr>
            <sz val="11"/>
            <color theme="1"/>
            <rFont val="Calibri"/>
            <family val="2"/>
            <scheme val="minor"/>
          </rPr>
          <t>Nyanza CEM 2025 rock fill to embankment construction: KES 4,180/m3.</t>
        </r>
      </text>
    </comment>
    <comment ref="E11" authorId="0" shapeId="0" xr:uid="{00000000-0006-0000-0300-000005000000}">
      <text>
        <r>
          <rPr>
            <sz val="11"/>
            <color theme="1"/>
            <rFont val="Calibri"/>
            <family val="2"/>
            <scheme val="minor"/>
          </rPr>
          <t>Estimated topsoiling rate based on Nyanza red soil material rate plus spreading/finishing.</t>
        </r>
      </text>
    </comment>
    <comment ref="E12" authorId="0" shapeId="0" xr:uid="{00000000-0006-0000-0300-000006000000}">
      <text>
        <r>
          <rPr>
            <sz val="11"/>
            <color theme="1"/>
            <rFont val="Calibri"/>
            <family val="2"/>
            <scheme val="minor"/>
          </rPr>
          <t>Costs Handbook 2025/26 landscape works Kikuyu/Bermuda grass CPU rate: KES 520/m2.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400-000001000000}">
      <text>
        <r>
          <rPr>
            <sz val="11"/>
            <color theme="1"/>
            <rFont val="Calibri"/>
            <family val="2"/>
            <scheme val="minor"/>
          </rPr>
          <t>Nyanza CEM 2025 excavate for structure in soft material (mechanical): KES 296/m3.</t>
        </r>
      </text>
    </comment>
    <comment ref="E8" authorId="0" shapeId="0" xr:uid="{00000000-0006-0000-0400-000002000000}">
      <text>
        <r>
          <rPr>
            <sz val="11"/>
            <color theme="1"/>
            <rFont val="Calibri"/>
            <family val="2"/>
            <scheme val="minor"/>
          </rPr>
          <t>Extra-over derived from difference between hard and soft mechanical structure excavation rates in Nyanza CEM (591 - 296).</t>
        </r>
      </text>
    </comment>
    <comment ref="E9" authorId="0" shapeId="0" xr:uid="{00000000-0006-0000-0400-000003000000}">
      <text>
        <r>
          <rPr>
            <sz val="11"/>
            <color theme="1"/>
            <rFont val="Calibri"/>
            <family val="2"/>
            <scheme val="minor"/>
          </rPr>
          <t>Nyanza CEM 2025 gabion installation: KES 574/m2.</t>
        </r>
      </text>
    </comment>
    <comment ref="E10" authorId="0" shapeId="0" xr:uid="{00000000-0006-0000-0400-000004000000}">
      <text>
        <r>
          <rPr>
            <sz val="11"/>
            <color theme="1"/>
            <rFont val="Calibri"/>
            <family val="2"/>
            <scheme val="minor"/>
          </rPr>
          <t>Nyanza CEM 2025 rock fill to gabions: KES 7,766/m3.</t>
        </r>
      </text>
    </comment>
    <comment ref="E11" authorId="0" shapeId="0" xr:uid="{00000000-0006-0000-0400-000005000000}">
      <text>
        <r>
          <rPr>
            <sz val="11"/>
            <color theme="1"/>
            <rFont val="Calibri"/>
            <family val="2"/>
            <scheme val="minor"/>
          </rPr>
          <t>Estimated local rate for 300gsm filter fabric/geotextile based on Kenya online market per m2.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500-000001000000}">
      <text>
        <r>
          <rPr>
            <sz val="11"/>
            <color theme="1"/>
            <rFont val="Calibri"/>
            <family val="2"/>
            <scheme val="minor"/>
          </rPr>
          <t>Nyanza CEM 2025 regravelling with watering and compaction benchmark: KES 2,959/m3.</t>
        </r>
      </text>
    </comment>
    <comment ref="E13" authorId="0" shapeId="0" xr:uid="{00000000-0006-0000-0500-000002000000}">
      <text>
        <r>
          <rPr>
            <sz val="11"/>
            <color theme="1"/>
            <rFont val="Calibri"/>
            <family val="2"/>
            <scheme val="minor"/>
          </rPr>
          <t>Estimated blended excavation rate for fence post holes in hard/soft material incl. trimming and cart-away.</t>
        </r>
      </text>
    </comment>
    <comment ref="E14" authorId="0" shapeId="0" xr:uid="{00000000-0006-0000-0500-000003000000}">
      <text>
        <r>
          <rPr>
            <sz val="11"/>
            <color theme="1"/>
            <rFont val="Calibri"/>
            <family val="2"/>
            <scheme val="minor"/>
          </rPr>
          <t>Estimated blended excavation rate for anchoring post holes in hard/soft material incl. trimming and cart-away.</t>
        </r>
      </text>
    </comment>
    <comment ref="E15" authorId="0" shapeId="0" xr:uid="{00000000-0006-0000-0500-000004000000}">
      <text>
        <r>
          <rPr>
            <sz val="11"/>
            <color theme="1"/>
            <rFont val="Calibri"/>
            <family val="2"/>
            <scheme val="minor"/>
          </rPr>
          <t>Costs Handbook 2025/26 Western region Class 20 concrete: KES 12,000/m3.</t>
        </r>
      </text>
    </comment>
    <comment ref="E16" authorId="0" shapeId="0" xr:uid="{00000000-0006-0000-0500-000005000000}">
      <text>
        <r>
          <rPr>
            <sz val="11"/>
            <color theme="1"/>
            <rFont val="Calibri"/>
            <family val="2"/>
            <scheme val="minor"/>
          </rPr>
          <t>Costs Handbook 2025/26 Western region Class 20 concrete: KES 12,000/m3.</t>
        </r>
      </text>
    </comment>
    <comment ref="E17" authorId="0" shapeId="0" xr:uid="{00000000-0006-0000-0500-000006000000}">
      <text>
        <r>
          <rPr>
            <sz val="11"/>
            <color theme="1"/>
            <rFont val="Calibri"/>
            <family val="2"/>
            <scheme val="minor"/>
          </rPr>
          <t>Estimated precast RC intermediate post rate based on concrete, reinforcement, casting and transport.</t>
        </r>
      </text>
    </comment>
    <comment ref="E18" authorId="0" shapeId="0" xr:uid="{00000000-0006-0000-0500-000007000000}">
      <text>
        <r>
          <rPr>
            <sz val="11"/>
            <color theme="1"/>
            <rFont val="Calibri"/>
            <family val="2"/>
            <scheme val="minor"/>
          </rPr>
          <t>Estimated precast RC straining post rate based on concrete, reinforcement, casting and transport.</t>
        </r>
      </text>
    </comment>
    <comment ref="E19" authorId="0" shapeId="0" xr:uid="{00000000-0006-0000-0500-000008000000}">
      <text>
        <r>
          <rPr>
            <sz val="11"/>
            <color theme="1"/>
            <rFont val="Calibri"/>
            <family val="2"/>
            <scheme val="minor"/>
          </rPr>
          <t>Estimated precast RC strut rate based on concrete, reinforcement, casting and fittings.</t>
        </r>
      </text>
    </comment>
    <comment ref="E20" authorId="0" shapeId="0" xr:uid="{00000000-0006-0000-0500-000009000000}">
      <text>
        <r>
          <rPr>
            <sz val="11"/>
            <color theme="1"/>
            <rFont val="Calibri"/>
            <family val="2"/>
            <scheme val="minor"/>
          </rPr>
          <t>Estimated installed rate for 2.4m galvanized chainlink fence based on handbook chainlink mesh plus fixing wires and labour.</t>
        </r>
      </text>
    </comment>
    <comment ref="E21" authorId="0" shapeId="0" xr:uid="{00000000-0006-0000-0500-00000A000000}">
      <text>
        <r>
          <rPr>
            <sz val="11"/>
            <color theme="1"/>
            <rFont val="Calibri"/>
            <family val="2"/>
            <scheme val="minor"/>
          </rPr>
          <t>Handbook barbed wire material benchmark plus fixing labour; estimated installed rate.</t>
        </r>
      </text>
    </comment>
    <comment ref="E22" authorId="0" shapeId="0" xr:uid="{00000000-0006-0000-0500-00000B000000}">
      <text>
        <r>
          <rPr>
            <sz val="11"/>
            <color theme="1"/>
            <rFont val="Calibri"/>
            <family val="2"/>
            <scheme val="minor"/>
          </rPr>
          <t>Estimated installed rate for 9-gauge galvanized straining wire incl. bolts/fixings.</t>
        </r>
      </text>
    </comment>
    <comment ref="E23" authorId="0" shapeId="0" xr:uid="{00000000-0006-0000-0500-00000C000000}">
      <text>
        <r>
          <rPr>
            <sz val="11"/>
            <color theme="1"/>
            <rFont val="Calibri"/>
            <family val="2"/>
            <scheme val="minor"/>
          </rPr>
          <t>Estimated trench excavation rate for ground beam.</t>
        </r>
      </text>
    </comment>
    <comment ref="E24" authorId="0" shapeId="0" xr:uid="{00000000-0006-0000-0500-00000D000000}">
      <text>
        <r>
          <rPr>
            <sz val="11"/>
            <color theme="1"/>
            <rFont val="Calibri"/>
            <family val="2"/>
            <scheme val="minor"/>
          </rPr>
          <t>Costs Handbook 2025/26 Western region Class 20 concrete: KES 12,000/m3.</t>
        </r>
      </text>
    </comment>
    <comment ref="E25" authorId="0" shapeId="0" xr:uid="{00000000-0006-0000-0500-00000E000000}">
      <text>
        <r>
          <rPr>
            <sz val="11"/>
            <color theme="1"/>
            <rFont val="Calibri"/>
            <family val="2"/>
            <scheme val="minor"/>
          </rPr>
          <t>Estimated fabricated/erected EA steel column rate based on structural steel benchmark plus fabrication and erection.</t>
        </r>
      </text>
    </comment>
    <comment ref="E26" authorId="0" shapeId="0" xr:uid="{00000000-0006-0000-0500-00000F000000}">
      <text>
        <r>
          <rPr>
            <sz val="11"/>
            <color theme="1"/>
            <rFont val="Calibri"/>
            <family val="2"/>
            <scheme val="minor"/>
          </rPr>
          <t>Estimated installed rate for 450mm galvanized spiral razor wire based on Costs Handbook material benchmark plus fixing.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9" authorId="0" shapeId="0" xr:uid="{00000000-0006-0000-0600-000001000000}">
      <text>
        <r>
          <rPr>
            <sz val="11"/>
            <color theme="1"/>
            <rFont val="Calibri"/>
            <family val="2"/>
            <scheme val="minor"/>
          </rPr>
          <t>Nyanza CEM 2025 Appendix 1 bulldozer BD65EX hourly rate.</t>
        </r>
      </text>
    </comment>
    <comment ref="E19" authorId="0" shapeId="0" xr:uid="{00000000-0006-0000-0600-000002000000}">
      <text>
        <r>
          <rPr>
            <sz val="11"/>
            <color theme="1"/>
            <rFont val="Calibri"/>
            <family val="2"/>
            <scheme val="minor"/>
          </rPr>
          <t>Nyanza CEM 2025 Appendix 1 motor grader 100-130HP hourly rate.</t>
        </r>
      </text>
    </comment>
    <comment ref="E30" authorId="0" shapeId="0" xr:uid="{00000000-0006-0000-0600-000003000000}">
      <text>
        <r>
          <rPr>
            <sz val="11"/>
            <color theme="1"/>
            <rFont val="Calibri"/>
            <family val="2"/>
            <scheme val="minor"/>
          </rPr>
          <t>Nyanza CEM 2025 Appendix 1 single drum steel vibrator roller 9-10T hourly rate.</t>
        </r>
      </text>
    </comment>
    <comment ref="E32" authorId="0" shapeId="0" xr:uid="{00000000-0006-0000-0600-000004000000}">
      <text>
        <r>
          <rPr>
            <sz val="11"/>
            <color theme="1"/>
            <rFont val="Calibri"/>
            <family val="2"/>
            <scheme val="minor"/>
          </rPr>
          <t>Nyanza CEM 2025 Appendix 1 pedestrian roller 700-1000kg hourly rate.</t>
        </r>
      </text>
    </comment>
    <comment ref="E34" authorId="0" shapeId="0" xr:uid="{00000000-0006-0000-0600-000005000000}">
      <text>
        <r>
          <rPr>
            <sz val="11"/>
            <color theme="1"/>
            <rFont val="Calibri"/>
            <family val="2"/>
            <scheme val="minor"/>
          </rPr>
          <t>Nyanza CEM 2025 Appendix 1 plate compactor hourly rate.</t>
        </r>
      </text>
    </comment>
    <comment ref="E46" authorId="0" shapeId="0" xr:uid="{00000000-0006-0000-0600-000006000000}">
      <text>
        <r>
          <rPr>
            <sz val="11"/>
            <color theme="1"/>
            <rFont val="Calibri"/>
            <family val="2"/>
            <scheme val="minor"/>
          </rPr>
          <t>Nyanza CEM 2025 Appendix 1 excavator 130-150hp hourly rate.</t>
        </r>
      </text>
    </comment>
    <comment ref="E48" authorId="0" shapeId="0" xr:uid="{00000000-0006-0000-0600-000007000000}">
      <text>
        <r>
          <rPr>
            <sz val="11"/>
            <color theme="1"/>
            <rFont val="Calibri"/>
            <family val="2"/>
            <scheme val="minor"/>
          </rPr>
          <t>Nyanza CEM 2025 Appendix 1 backhoe loader 130-150hp hourly rate.</t>
        </r>
      </text>
    </comment>
    <comment ref="E75" authorId="0" shapeId="0" xr:uid="{00000000-0006-0000-0600-000008000000}">
      <text>
        <r>
          <rPr>
            <sz val="11"/>
            <color theme="1"/>
            <rFont val="Calibri"/>
            <family val="2"/>
            <scheme val="minor"/>
          </rPr>
          <t>Nyanza CEM 2025 Appendix 1 pick up truck day rate converted to hourly equivalent.</t>
        </r>
      </text>
    </comment>
    <comment ref="E111" authorId="0" shapeId="0" xr:uid="{00000000-0006-0000-0600-000009000000}">
      <text>
        <r>
          <rPr>
            <sz val="11"/>
            <color theme="1"/>
            <rFont val="Calibri"/>
            <family val="2"/>
            <scheme val="minor"/>
          </rPr>
          <t>Nyanza CEM 2025 Appendix 1 cement OPC KES 15/kg =&gt; KES 15,000/t.</t>
        </r>
      </text>
    </comment>
    <comment ref="E123" authorId="0" shapeId="0" xr:uid="{00000000-0006-0000-0600-00000A000000}">
      <text>
        <r>
          <rPr>
            <sz val="11"/>
            <color theme="1"/>
            <rFont val="Calibri"/>
            <family val="2"/>
            <scheme val="minor"/>
          </rPr>
          <t>Costs Handbook Western region Class 15 concrete rate.</t>
        </r>
      </text>
    </comment>
    <comment ref="E124" authorId="0" shapeId="0" xr:uid="{00000000-0006-0000-0600-00000B000000}">
      <text>
        <r>
          <rPr>
            <sz val="11"/>
            <color theme="1"/>
            <rFont val="Calibri"/>
            <family val="2"/>
            <scheme val="minor"/>
          </rPr>
          <t>Costs Handbook Western region Class 20 concrete rate.</t>
        </r>
      </text>
    </comment>
    <comment ref="E125" authorId="0" shapeId="0" xr:uid="{00000000-0006-0000-0600-00000C000000}">
      <text>
        <r>
          <rPr>
            <sz val="11"/>
            <color theme="1"/>
            <rFont val="Calibri"/>
            <family val="2"/>
            <scheme val="minor"/>
          </rPr>
          <t>Costs Handbook Western region Class 25 concrete rate.</t>
        </r>
      </text>
    </comment>
    <comment ref="E126" authorId="0" shapeId="0" xr:uid="{00000000-0006-0000-0600-00000D000000}">
      <text>
        <r>
          <rPr>
            <sz val="11"/>
            <color theme="1"/>
            <rFont val="Calibri"/>
            <family val="2"/>
            <scheme val="minor"/>
          </rPr>
          <t>Costs Handbook Western region Class 30 concrete rate.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700-000001000000}">
      <text>
        <r>
          <rPr>
            <sz val="11"/>
            <color theme="1"/>
            <rFont val="Calibri"/>
            <family val="2"/>
            <scheme val="minor"/>
          </rPr>
          <t>Estimated from current Kenya executive desk market prices.</t>
        </r>
      </text>
    </comment>
    <comment ref="E8" authorId="0" shapeId="0" xr:uid="{00000000-0006-0000-0700-000002000000}">
      <text>
        <r>
          <rPr>
            <sz val="11"/>
            <color theme="1"/>
            <rFont val="Calibri"/>
            <family val="2"/>
            <scheme val="minor"/>
          </rPr>
          <t>Estimated from current Kenya executive chair market prices.</t>
        </r>
      </text>
    </comment>
    <comment ref="E12" authorId="0" shapeId="0" xr:uid="{00000000-0006-0000-0700-000003000000}">
      <text>
        <r>
          <rPr>
            <sz val="11"/>
            <color theme="1"/>
            <rFont val="Calibri"/>
            <family val="2"/>
            <scheme val="minor"/>
          </rPr>
          <t>Estimated heavy-duty fireproof filing cabinet local market rate.</t>
        </r>
      </text>
    </comment>
    <comment ref="E19" authorId="0" shapeId="0" xr:uid="{00000000-0006-0000-0700-000004000000}">
      <text>
        <r>
          <rPr>
            <sz val="11"/>
            <color theme="1"/>
            <rFont val="Calibri"/>
            <family val="2"/>
            <scheme val="minor"/>
          </rPr>
          <t>Jumia Kenya 136-138L refrigerator market benchmark.</t>
        </r>
      </text>
    </comment>
    <comment ref="E20" authorId="0" shapeId="0" xr:uid="{00000000-0006-0000-0700-000005000000}">
      <text>
        <r>
          <rPr>
            <sz val="11"/>
            <color theme="1"/>
            <rFont val="Calibri"/>
            <family val="2"/>
            <scheme val="minor"/>
          </rPr>
          <t>9L CO2 fire extinguisher local market benchmark.</t>
        </r>
      </text>
    </comment>
    <comment ref="E22" authorId="0" shapeId="0" xr:uid="{00000000-0006-0000-0700-000006000000}">
      <text>
        <r>
          <rPr>
            <sz val="11"/>
            <color theme="1"/>
            <rFont val="Calibri"/>
            <family val="2"/>
            <scheme val="minor"/>
          </rPr>
          <t>HP LaserJet Enterprise M725F / similar current online market benchmark plus starter toner.</t>
        </r>
      </text>
    </comment>
    <comment ref="E27" authorId="0" shapeId="0" xr:uid="{00000000-0006-0000-0700-000007000000}">
      <text>
        <r>
          <rPr>
            <sz val="11"/>
            <color theme="1"/>
            <rFont val="Calibri"/>
            <family val="2"/>
            <scheme val="minor"/>
          </rPr>
          <t>Current Kenya laptop i7/16GB market benchmark.</t>
        </r>
      </text>
    </comment>
    <comment ref="E29" authorId="0" shapeId="0" xr:uid="{00000000-0006-0000-0700-000008000000}">
      <text>
        <r>
          <rPr>
            <sz val="11"/>
            <color theme="1"/>
            <rFont val="Calibri"/>
            <family val="2"/>
            <scheme val="minor"/>
          </rPr>
          <t>Current Kenya desktop/i7 market benchmark.</t>
        </r>
      </text>
    </comment>
    <comment ref="E30" authorId="0" shapeId="0" xr:uid="{00000000-0006-0000-0700-000009000000}">
      <text>
        <r>
          <rPr>
            <sz val="11"/>
            <color theme="1"/>
            <rFont val="Calibri"/>
            <family val="2"/>
            <scheme val="minor"/>
          </rPr>
          <t>Starlink Kenya hardware plus subscription allowance over contract duration.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15" authorId="0" shapeId="0" xr:uid="{00000000-0006-0000-0800-000001000000}">
      <text>
        <r>
          <rPr>
            <sz val="11"/>
            <color theme="1"/>
            <rFont val="Calibri"/>
            <family val="2"/>
            <scheme val="minor"/>
          </rPr>
          <t>Estimated from recent Kenya/EA supplier quotations for compaction moulds, adjusted to 2025/26.</t>
        </r>
      </text>
    </comment>
    <comment ref="E24" authorId="0" shapeId="0" xr:uid="{00000000-0006-0000-0800-000002000000}">
      <text>
        <r>
          <rPr>
            <sz val="11"/>
            <color theme="1"/>
            <rFont val="Calibri"/>
            <family val="2"/>
            <scheme val="minor"/>
          </rPr>
          <t>Estimated from recent supplier quotations for thermostatically controlled lab ovens.</t>
        </r>
      </text>
    </comment>
    <comment ref="E26" authorId="0" shapeId="0" xr:uid="{00000000-0006-0000-0800-000003000000}">
      <text>
        <r>
          <rPr>
            <sz val="11"/>
            <color theme="1"/>
            <rFont val="Calibri"/>
            <family val="2"/>
            <scheme val="minor"/>
          </rPr>
          <t>Estimated from soil cone penetrometer supplier quotations adjusted to current market.</t>
        </r>
      </text>
    </comment>
    <comment ref="E37" authorId="0" shapeId="0" xr:uid="{00000000-0006-0000-0800-000004000000}">
      <text>
        <r>
          <rPr>
            <sz val="11"/>
            <color theme="1"/>
            <rFont val="Calibri"/>
            <family val="2"/>
            <scheme val="minor"/>
          </rPr>
          <t>Estimated from ITHATECH quotation sand pouring cylinder 150mm, adjusted upward for 2025/26.</t>
        </r>
      </text>
    </comment>
    <comment ref="E38" authorId="0" shapeId="0" xr:uid="{00000000-0006-0000-0800-000005000000}">
      <text>
        <r>
          <rPr>
            <sz val="11"/>
            <color theme="1"/>
            <rFont val="Calibri"/>
            <family val="2"/>
            <scheme val="minor"/>
          </rPr>
          <t>Estimated from supplier quotation sand pouring cylinder 200/215mm, adjusted upward for 2025/26.</t>
        </r>
      </text>
    </comment>
    <comment ref="E48" authorId="0" shapeId="0" xr:uid="{00000000-0006-0000-0800-000006000000}">
      <text>
        <r>
          <rPr>
            <sz val="11"/>
            <color theme="1"/>
            <rFont val="Calibri"/>
            <family val="2"/>
            <scheme val="minor"/>
          </rPr>
          <t>Estimated from BS/CBR mould quotation benchmarks, adjusted to 2025/26.</t>
        </r>
      </text>
    </comment>
    <comment ref="E57" authorId="0" shapeId="0" xr:uid="{00000000-0006-0000-0800-000007000000}">
      <text>
        <r>
          <rPr>
            <sz val="11"/>
            <color theme="1"/>
            <rFont val="Calibri"/>
            <family val="2"/>
            <scheme val="minor"/>
          </rPr>
          <t>Estimated from recent curing/soaking tank supplier quotations.</t>
        </r>
      </text>
    </comment>
    <comment ref="E62" authorId="0" shapeId="0" xr:uid="{00000000-0006-0000-0800-000008000000}">
      <text>
        <r>
          <rPr>
            <sz val="11"/>
            <color theme="1"/>
            <rFont val="Calibri"/>
            <family val="2"/>
            <scheme val="minor"/>
          </rPr>
          <t>Estimated from 300mm BS sieve set quotation benchmarks.</t>
        </r>
      </text>
    </comment>
    <comment ref="E63" authorId="0" shapeId="0" xr:uid="{00000000-0006-0000-0800-000009000000}">
      <text>
        <r>
          <rPr>
            <sz val="11"/>
            <color theme="1"/>
            <rFont val="Calibri"/>
            <family val="2"/>
            <scheme val="minor"/>
          </rPr>
          <t>Estimated from 200mm BS sieve set quotation benchmarks.</t>
        </r>
      </text>
    </comment>
    <comment ref="E66" authorId="0" shapeId="0" xr:uid="{00000000-0006-0000-0800-00000A000000}">
      <text>
        <r>
          <rPr>
            <sz val="11"/>
            <color theme="1"/>
            <rFont val="Calibri"/>
            <family val="2"/>
            <scheme val="minor"/>
          </rPr>
          <t>Estimated from slump cone set quotation benchmarks and 2025/26 uplift.</t>
        </r>
      </text>
    </comment>
    <comment ref="E68" authorId="0" shapeId="0" xr:uid="{00000000-0006-0000-0800-00000B000000}">
      <text>
        <r>
          <rPr>
            <sz val="11"/>
            <color theme="1"/>
            <rFont val="Calibri"/>
            <family val="2"/>
            <scheme val="minor"/>
          </rPr>
          <t>Concrete cube mould current Kenya market benchmark.</t>
        </r>
      </text>
    </comment>
    <comment ref="E122" authorId="0" shapeId="0" xr:uid="{00000000-0006-0000-0800-00000C000000}">
      <text>
        <r>
          <rPr>
            <sz val="11"/>
            <color theme="1"/>
            <rFont val="Calibri"/>
            <family val="2"/>
            <scheme val="minor"/>
          </rPr>
          <t>Rain gauge benchmark from recent supplier quotation.</t>
        </r>
      </text>
    </comment>
    <comment ref="E138" authorId="0" shapeId="0" xr:uid="{00000000-0006-0000-0800-00000D000000}">
      <text>
        <r>
          <rPr>
            <sz val="11"/>
            <color theme="1"/>
            <rFont val="Calibri"/>
            <family val="2"/>
            <scheme val="minor"/>
          </rPr>
          <t>Paraffin wax market allowance per kg.</t>
        </r>
      </text>
    </comment>
    <comment ref="E139" authorId="0" shapeId="0" xr:uid="{00000000-0006-0000-0800-00000E000000}">
      <text>
        <r>
          <rPr>
            <sz val="11"/>
            <color theme="1"/>
            <rFont val="Calibri"/>
            <family val="2"/>
            <scheme val="minor"/>
          </rPr>
          <t>Gas/LPG allowance per kg.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900-000001000000}">
      <text>
        <r>
          <rPr>
            <sz val="11"/>
            <color theme="1"/>
            <rFont val="Calibri"/>
            <family val="2"/>
            <scheme val="minor"/>
          </rPr>
          <t>Automatic level benchmark from Kenya surveying equipment market.</t>
        </r>
      </text>
    </comment>
    <comment ref="E18" authorId="0" shapeId="0" xr:uid="{00000000-0006-0000-0900-000002000000}">
      <text>
        <r>
          <rPr>
            <sz val="11"/>
            <color theme="1"/>
            <rFont val="Calibri"/>
            <family val="2"/>
            <scheme val="minor"/>
          </rPr>
          <t>Estimated theodolite equivalent current market benchmark.</t>
        </r>
      </text>
    </comment>
    <comment ref="E21" authorId="0" shapeId="0" xr:uid="{00000000-0006-0000-0900-000003000000}">
      <text>
        <r>
          <rPr>
            <sz val="11"/>
            <color theme="1"/>
            <rFont val="Calibri"/>
            <family val="2"/>
            <scheme val="minor"/>
          </rPr>
          <t>Total station benchmark from current Kenya surveying equipment market.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7" authorId="0" shapeId="0" xr:uid="{00000000-0006-0000-0A00-000001000000}">
      <text>
        <r>
          <rPr>
            <sz val="11"/>
            <color theme="1"/>
            <rFont val="Calibri"/>
            <family val="2"/>
            <scheme val="minor"/>
          </rPr>
          <t>Indicative current market replacement value for Cat D6 / equivalent dozer with ripper.</t>
        </r>
      </text>
    </comment>
    <comment ref="E8" authorId="0" shapeId="0" xr:uid="{00000000-0006-0000-0A00-000002000000}">
      <text>
        <r>
          <rPr>
            <sz val="11"/>
            <color theme="1"/>
            <rFont val="Calibri"/>
            <family val="2"/>
            <scheme val="minor"/>
          </rPr>
          <t>Indicative current market replacement value for Cat 140H motor grader / equivalent.</t>
        </r>
      </text>
    </comment>
    <comment ref="E9" authorId="0" shapeId="0" xr:uid="{00000000-0006-0000-0A00-000003000000}">
      <text>
        <r>
          <rPr>
            <sz val="11"/>
            <color theme="1"/>
            <rFont val="Calibri"/>
            <family val="2"/>
            <scheme val="minor"/>
          </rPr>
          <t>Indicative current market replacement value for 15T vibratory roller.</t>
        </r>
      </text>
    </comment>
    <comment ref="E11" authorId="0" shapeId="0" xr:uid="{00000000-0006-0000-0A00-000004000000}">
      <text>
        <r>
          <rPr>
            <sz val="11"/>
            <color theme="1"/>
            <rFont val="Calibri"/>
            <family val="2"/>
            <scheme val="minor"/>
          </rPr>
          <t>Indicative current market replacement value for Cat 950C wheel loader / equivalent.</t>
        </r>
      </text>
    </comment>
    <comment ref="E12" authorId="0" shapeId="0" xr:uid="{00000000-0006-0000-0A00-000005000000}">
      <text>
        <r>
          <rPr>
            <sz val="11"/>
            <color theme="1"/>
            <rFont val="Calibri"/>
            <family val="2"/>
            <scheme val="minor"/>
          </rPr>
          <t>Indicative current market replacement value for 15T tipper lorry.</t>
        </r>
      </text>
    </comment>
    <comment ref="E16" authorId="0" shapeId="0" xr:uid="{00000000-0006-0000-0A00-000006000000}">
      <text>
        <r>
          <rPr>
            <sz val="11"/>
            <color theme="1"/>
            <rFont val="Calibri"/>
            <family val="2"/>
            <scheme val="minor"/>
          </rPr>
          <t>Indicative current market replacement value for excavator/loader attachment class.</t>
        </r>
      </text>
    </comment>
    <comment ref="E18" authorId="0" shapeId="0" xr:uid="{00000000-0006-0000-0A00-000007000000}">
      <text>
        <r>
          <rPr>
            <sz val="11"/>
            <color theme="1"/>
            <rFont val="Calibri"/>
            <family val="2"/>
            <scheme val="minor"/>
          </rPr>
          <t>Indicative current market replacement value for 250cfm compressor with drill set.</t>
        </r>
      </text>
    </comment>
    <comment ref="E20" authorId="0" shapeId="0" xr:uid="{00000000-0006-0000-0A00-000008000000}">
      <text>
        <r>
          <rPr>
            <sz val="11"/>
            <color theme="1"/>
            <rFont val="Calibri"/>
            <family val="2"/>
            <scheme val="minor"/>
          </rPr>
          <t>Indicative current market replacement value for self-propelled water tanker.</t>
        </r>
      </text>
    </comment>
  </commentList>
</comments>
</file>

<file path=xl/sharedStrings.xml><?xml version="1.0" encoding="utf-8"?>
<sst xmlns="http://schemas.openxmlformats.org/spreadsheetml/2006/main" count="895" uniqueCount="469">
  <si>
    <t>SLOPE STABILISATION AND LAND RECLAMATION OF RUNWAY 06</t>
  </si>
  <si>
    <t>KISUMU INTERNATIONAL AIRPORT</t>
  </si>
  <si>
    <t>CONTRACT NO: KAA/KIA/OT/0026/2025-2026</t>
  </si>
  <si>
    <t>BILL OF QUANTITIES</t>
  </si>
  <si>
    <t>Summary</t>
  </si>
  <si>
    <t>Item no.</t>
  </si>
  <si>
    <t>Description</t>
  </si>
  <si>
    <t>Appraised Amount</t>
  </si>
  <si>
    <t>GENERAL: Office administration and overheads/Preliminaries</t>
  </si>
  <si>
    <t>SITE CLEARANCE</t>
  </si>
  <si>
    <t>EARTHWORKS</t>
  </si>
  <si>
    <t>EXCAVATION AND FILLING FOR STRUCTURES</t>
  </si>
  <si>
    <t xml:space="preserve">GRAVEL WEARING COURSE </t>
  </si>
  <si>
    <t xml:space="preserve">ROAD FURNITURE </t>
  </si>
  <si>
    <t>DAYWORKS</t>
  </si>
  <si>
    <t>A</t>
  </si>
  <si>
    <t>Sub Total 1</t>
  </si>
  <si>
    <t>B</t>
  </si>
  <si>
    <t>Add 5% of Sub-Total 1 of Bills as Provisional Sum for contigencies to be expended in the whole or part or deleted by the Engineer</t>
  </si>
  <si>
    <t>C</t>
  </si>
  <si>
    <t>Sub Total 2</t>
  </si>
  <si>
    <t>D</t>
  </si>
  <si>
    <t>Add 16% of Sub-Total 2 for Value Added Tax (VAT)</t>
  </si>
  <si>
    <t>E</t>
  </si>
  <si>
    <t>Sub Total 3</t>
  </si>
  <si>
    <t>F</t>
  </si>
  <si>
    <t>Add 0.03% of E for Public Procurement Capacity Building Levy (PPCBL)</t>
  </si>
  <si>
    <t>Grand total carried to page on the tender</t>
  </si>
  <si>
    <t>Bill No. 1</t>
  </si>
  <si>
    <t>PRELIMINARIES</t>
  </si>
  <si>
    <t>Item No</t>
  </si>
  <si>
    <t xml:space="preserve">Units </t>
  </si>
  <si>
    <t xml:space="preserve">Quantity </t>
  </si>
  <si>
    <t>Rate (Ksh)</t>
  </si>
  <si>
    <t>Amount (Ksh)</t>
  </si>
  <si>
    <t>Maintain a furnished Engineer's Representative's 40ft Containerized office to be provided by the Client or as instructed by the Engineer for use during the duration of the Contract. Maintenance shall include provision of electricity, water and starlink speed internet. Ownership shall revert back to the Employer.</t>
  </si>
  <si>
    <t>L Sum</t>
  </si>
  <si>
    <t>Provide an ablution block as per the drawing.</t>
  </si>
  <si>
    <t>Item</t>
  </si>
  <si>
    <t>Provide and install reinforced (weight of steel 80kg/m3-120kg/m3) concrete Septic Tank of 25,000 ltrs capacity</t>
  </si>
  <si>
    <t>Allow a prime cost Sum of Ksh 4,000,000 for Engineer's Miscellaneous account.</t>
  </si>
  <si>
    <t xml:space="preserve">Include percentage of P.C sum in item 1.01 for Contractor's overheads and profit. </t>
  </si>
  <si>
    <t>Hiring boat services for water Survey Works</t>
  </si>
  <si>
    <t>Per Day</t>
  </si>
  <si>
    <t>Preparation of detailed Construction/Shop drawings as instructed by the Engineer</t>
  </si>
  <si>
    <t>Provide with driver, fuel, service and maintain, insure 1No. New 4WD Double Cab pickup vehicle recorded mileage below 20,000, diesel engine capacity 2800-3000 cc fitted with front bull bars, lockable water/dust proof vehicle colour matching fibre material carrier cover integrated with hinges and carrier lighting for exclusive use of the Engineer inclusive of the first 5,000 km per vehicle month to Engineer’s approval. Vehicle to revert back to the Contractor.</t>
  </si>
  <si>
    <t>Veh. Month</t>
  </si>
  <si>
    <t>Extra over item 1.05 for mileage over 5,000 km per vehicle month inclusive of all fuels, lubricants, servicing and maintenance, insurances and driver</t>
  </si>
  <si>
    <t>KM</t>
  </si>
  <si>
    <t>Provide automatic level machine complete with levelling staff and levelling bubble for exclusive use by the Engineer’s representative for the entire duration of the contract as per special specifications</t>
  </si>
  <si>
    <t>Month</t>
  </si>
  <si>
    <t>Provide project signboard being 1200 mm × 600 mm Gauge 14 (1.9 mm thick) mild steel plate welded onto 50 mm × 50 mm × 3 mm square hollow sections frame, 2.5 m frame with 0.5 m fixed below ground and painted approved colours for the duration of the project including the defects liability period</t>
  </si>
  <si>
    <t>No.</t>
  </si>
  <si>
    <t>Provide Airtime worth KES 100,000 per month for Supervision Staff as instructed by the Engineer</t>
  </si>
  <si>
    <t>Months</t>
  </si>
  <si>
    <t>Provide for removing the stands, disconnection and reconnection of Final Approach Lights as instructed by the Engineer</t>
  </si>
  <si>
    <t>Lump Sum</t>
  </si>
  <si>
    <t>Bill No. 4</t>
  </si>
  <si>
    <t>SITE CLEARANCE AND TOP SOIL STRIPPING</t>
  </si>
  <si>
    <t>Clear site including removal of hedges, bushes, trees including uprooting of bushes and other vegetation and objectionable materials in accordance with the specifications</t>
  </si>
  <si>
    <t>Ha</t>
  </si>
  <si>
    <t>Removal of topsoil to spoil. Depth not exceeding 200 mm</t>
  </si>
  <si>
    <t>m³</t>
  </si>
  <si>
    <t>Demolition to spoiling of concrete structures</t>
  </si>
  <si>
    <t>Removal of barbed wire or chain link fence and storing to a designated location as instructed by the Engineer</t>
  </si>
  <si>
    <t>m</t>
  </si>
  <si>
    <t>Relocation of existing fence as instructed by the Engineer</t>
  </si>
  <si>
    <t>Bill No. 5</t>
  </si>
  <si>
    <t>Provide, lay and compact soft material in layers not exceeding 150 mm in fill as directed by the Engineer</t>
  </si>
  <si>
    <t>Extra over item 5.01 for compaction of top 300 mm to 100% MDD (AASHTO T99)</t>
  </si>
  <si>
    <t>Spoil in soft material</t>
  </si>
  <si>
    <t>Provide, lay and compact in 200 mm layers approved rockfill as directed by the Engineer</t>
  </si>
  <si>
    <t>50 mm top soiling to specification</t>
  </si>
  <si>
    <t>Grassing to specifications</t>
  </si>
  <si>
    <t>m²</t>
  </si>
  <si>
    <t>Bill No. 7</t>
  </si>
  <si>
    <t>Excavate for structures in soft material</t>
  </si>
  <si>
    <t>Extra over item 7.01 for excavation in hard material</t>
  </si>
  <si>
    <t>Provide and place 2 m × 1 m triple twisted wire 2.6 mm thick galvanised wire gabion mesh boxes</t>
  </si>
  <si>
    <t>Provide and place rock fill to gabion mesh boxes</t>
  </si>
  <si>
    <t>Provide and place filter fabric (300 g/m²) under or behind gabions</t>
  </si>
  <si>
    <t>Bill No. 10</t>
  </si>
  <si>
    <t>GRAVEL WEARING COURSE (PATROL ROAD)</t>
  </si>
  <si>
    <t>Gravel wearing course to specifications</t>
  </si>
  <si>
    <t>Bill No. 20</t>
  </si>
  <si>
    <t>ROAD FURNITURE</t>
  </si>
  <si>
    <t>Excavate holes for fencing posts footing not exceeding 1.50 m deep, average 1.0 m deep in hard and soft material; ram base to receive Class 20 concrete bases; include carting away</t>
  </si>
  <si>
    <t>Ditto but for chain-link anchoring posts</t>
  </si>
  <si>
    <t>Mass concrete; Class 20 in footings</t>
  </si>
  <si>
    <t>Supply and install precast reinforced intermediate posts size 150×150 mm overall height 3500 mm inclusive of cranked top 475 mm long as per detailed drawing including labour for 6 mm diameter holes and bolts and 8 mm galvanized mild steel bars with 12.5 SWG stirrups at 350 mm c/c as per detailed drawing to Engineer’s approval and satisfaction</t>
  </si>
  <si>
    <t>Ditto but precast reinforced straining posts size 150×150 mm overall height 3500 mm inclusive of cranked top 475 mm long including provision to receive struts to detail drawing</t>
  </si>
  <si>
    <t>150 × 80 mm precast reinforced concrete struts to detail anchor on concrete base and straining posts at approved level and 45° to the horizontal</t>
  </si>
  <si>
    <t>Supply and fix 2.4 m high galvanized chain-link (gauge 9, 3.5 mm thick wire), 50×50 mm mesh onto precast concrete posts; fastening with 5 No. lines of galvanized wire threaded through mesh and hook bolts</t>
  </si>
  <si>
    <t>Lm</t>
  </si>
  <si>
    <t>High tensile galvanized barbed wire 12½ G (2.5 mm diameter) threaded through posts secured by galvanized binding wire</t>
  </si>
  <si>
    <t>High tensile galvanized straining wire 9 Gauge threaded through concrete posts including hook bolts</t>
  </si>
  <si>
    <t>Excavate 150 mm × 300 mm for ground beam</t>
  </si>
  <si>
    <t>Mass concrete; Class 20 in ground beam</t>
  </si>
  <si>
    <t>Supply and install 50 mm × 6 mm THK EA section steel columns with overall height of 2.4 m above ground including fittings</t>
  </si>
  <si>
    <t>Tonnes</t>
  </si>
  <si>
    <t>Supply and install 450mm diameter galvanized steel spiral razor 2.5mm diameter, high tensile blade/strip 0.55mm, BTC-18 hot dipped galvanized surface treatment fastened along the fence, three lines at the base.</t>
  </si>
  <si>
    <t>Bill No. 22</t>
  </si>
  <si>
    <t>Plant</t>
  </si>
  <si>
    <t>Crawler Dozers with Dozer and Hydraulic Ripper Attachments:</t>
  </si>
  <si>
    <t>100 - 135 kW rated flywheel power</t>
  </si>
  <si>
    <t>hr</t>
  </si>
  <si>
    <t>136 - 185 kW rated flywheel power</t>
  </si>
  <si>
    <t>186-250 kw rated flywheel power</t>
  </si>
  <si>
    <t>Motorized rubber tyred single engine scrapers</t>
  </si>
  <si>
    <t>up to 16m3 heaped capacity</t>
  </si>
  <si>
    <t>17 - 26m3 heaped capacity</t>
  </si>
  <si>
    <t>Motorized rubber tyred twin engine scrapers</t>
  </si>
  <si>
    <t>Motor graders complete with Hydraulic Ripper or scarifier</t>
  </si>
  <si>
    <t>80-110 kw rated flywheel power</t>
  </si>
  <si>
    <t>111-120 kw rated flywheel power</t>
  </si>
  <si>
    <t>121-160 kw rated flywheel power</t>
  </si>
  <si>
    <t>Rollers - Towed Vibratory Including Tractor:</t>
  </si>
  <si>
    <t>6.5 - 8.8 t unballasted wt.</t>
  </si>
  <si>
    <t>8.9 - 11.7 t unballasted wt.</t>
  </si>
  <si>
    <t>Rollers - Road Deadweight (steel three wheel):</t>
  </si>
  <si>
    <t>6.1 - 8.5 t unballasted wt.</t>
  </si>
  <si>
    <t>Rollers - Rubber Tyred Self-Propelled:</t>
  </si>
  <si>
    <t>up to 1.0 t per wheel</t>
  </si>
  <si>
    <t>Rollers - Vibratory Single Roll Rubber Tyred</t>
  </si>
  <si>
    <t>8.3 - 10.5 t unballasted wt.</t>
  </si>
  <si>
    <t>Rollers - Vibratory Pedestrian Operated Twin Roller:</t>
  </si>
  <si>
    <t>651 kg - 1.3 t un-ballasted weight</t>
  </si>
  <si>
    <t>Vibrating Plate Compactor:</t>
  </si>
  <si>
    <t>114 - 200 kg operating weight.</t>
  </si>
  <si>
    <t>Compressors - Rated by Normal Delivery of Free Air per min at 7 kg per cm² Complete with all Tools, Hoses, Steel etc.</t>
  </si>
  <si>
    <t>6.0 - 7.4m³/min</t>
  </si>
  <si>
    <t>7.5 - 9.7m³/min</t>
  </si>
  <si>
    <t>9.8-25.5m3/min</t>
  </si>
  <si>
    <t>Cranes - Mobile Rubber Tyred Rough Terrain Type:</t>
  </si>
  <si>
    <t>23.0 - 40.0 t max working load</t>
  </si>
  <si>
    <t>Cranes - Excavator Cranes Tracked:</t>
  </si>
  <si>
    <t>20.0 - 28.0t max working load</t>
  </si>
  <si>
    <t>Small Dumpers:</t>
  </si>
  <si>
    <t>751kg - 1.2t maker's rated payload</t>
  </si>
  <si>
    <t>Excavator - hydraulic crawler or wheel mounted, full circle slew (back actor):</t>
  </si>
  <si>
    <t>14.0-17.0t nominal wt of machine</t>
  </si>
  <si>
    <t>Excavators - hydraulic wheeled dual purpose (backhoe/loader):</t>
  </si>
  <si>
    <t>Pumps (inclusive of all hoses):</t>
  </si>
  <si>
    <t>50 - 76mm delivery</t>
  </si>
  <si>
    <t>77-101mm delivery</t>
  </si>
  <si>
    <t>Tractors - Rubber Tyred Including Trailer:</t>
  </si>
  <si>
    <t>50 - 70 kW rated flywheel power</t>
  </si>
  <si>
    <t>Loaders</t>
  </si>
  <si>
    <t>Wheeled Loaders - 4 wheel drive, articulated:</t>
  </si>
  <si>
    <t>2.01 - 3.40m³ SAE rated capacity</t>
  </si>
  <si>
    <t>Crawler Loader:</t>
  </si>
  <si>
    <t>0.80 - 1.30m³ SAE rated capacity</t>
  </si>
  <si>
    <t>1.31 - 1.90m³ SAE rated capacity</t>
  </si>
  <si>
    <t>Concrete mixers (wet capacity)</t>
  </si>
  <si>
    <t>up to 100 litres</t>
  </si>
  <si>
    <t>101-200 litres</t>
  </si>
  <si>
    <t>201-300 litres</t>
  </si>
  <si>
    <t>Transit Mixer 4.5 m3/hour</t>
  </si>
  <si>
    <t>Concrete pump of 4.5 and 30m3 capacity</t>
  </si>
  <si>
    <t>Concrete Vibrator (poker type):</t>
  </si>
  <si>
    <t>Lorries - Flatbed</t>
  </si>
  <si>
    <t>up to 7.5t gross vehicle weight</t>
  </si>
  <si>
    <t>7.6-12.0t gross vehicle weight</t>
  </si>
  <si>
    <t>Lorries -Tipper:</t>
  </si>
  <si>
    <t>up to 11.0t gross vehicle wt</t>
  </si>
  <si>
    <t>11.1 - 17.0t gross vehicle wt</t>
  </si>
  <si>
    <t>Van, Pick-up or Similar Utility Vehicle:</t>
  </si>
  <si>
    <t>up to 1.0t carrying capacity</t>
  </si>
  <si>
    <t>Water or Fuel Tanker - Self Propelled:</t>
  </si>
  <si>
    <t>3500 - 4550 litre capacity</t>
  </si>
  <si>
    <t>4551 - 7000 litre capacity</t>
  </si>
  <si>
    <t>7001-12000 litre capacity</t>
  </si>
  <si>
    <t>Pressure Bitumen Distributor:</t>
  </si>
  <si>
    <t>4551-9000 litre capacity</t>
  </si>
  <si>
    <t>Hot mix plant - 60 tonnes per hour</t>
  </si>
  <si>
    <t>Wet mix plant - 60 tonnes per hour</t>
  </si>
  <si>
    <t>Hydrostatic paver &amp; finisher with sensor control</t>
  </si>
  <si>
    <t>Batching and mixing plant 15-20 m' capacity</t>
  </si>
  <si>
    <t>Chip spreader</t>
  </si>
  <si>
    <t>Mechanical Broom</t>
  </si>
  <si>
    <t>Bitumen Hands Sprayer of 200 litres carrying capacity</t>
  </si>
  <si>
    <t>Road marking machine</t>
  </si>
  <si>
    <t>Electric generator</t>
  </si>
  <si>
    <t>100KVA</t>
  </si>
  <si>
    <t>125 KVA</t>
  </si>
  <si>
    <t>Crusher Plant</t>
  </si>
  <si>
    <t>Pulvimixer</t>
  </si>
  <si>
    <t>Oxy-acetylene cutting and welding set including oxygen and acetylene gases.</t>
  </si>
  <si>
    <t>Electrical welding set including electrode</t>
  </si>
  <si>
    <t>Labour</t>
  </si>
  <si>
    <t>Unskilled Labour</t>
  </si>
  <si>
    <t>Skilled Labour</t>
  </si>
  <si>
    <t>Artisan</t>
  </si>
  <si>
    <t>Plant Operator</t>
  </si>
  <si>
    <t>Driver</t>
  </si>
  <si>
    <t>Foreman</t>
  </si>
  <si>
    <t>Site Surveyor</t>
  </si>
  <si>
    <t>Chainman</t>
  </si>
  <si>
    <t>Watchman (all round surveillance)</t>
  </si>
  <si>
    <t>Blaster (Certified)</t>
  </si>
  <si>
    <t>Office attendants</t>
  </si>
  <si>
    <t>Materials</t>
  </si>
  <si>
    <t>Ordinary Portland Cement</t>
  </si>
  <si>
    <t>t</t>
  </si>
  <si>
    <t>Hydrated Lime</t>
  </si>
  <si>
    <t>Mild steel</t>
  </si>
  <si>
    <t>up to and including 16mm dia</t>
  </si>
  <si>
    <t>over 16mm dia</t>
  </si>
  <si>
    <t>High tensile steel</t>
  </si>
  <si>
    <t>over 16mm dia.</t>
  </si>
  <si>
    <t>Aggregate for concrete</t>
  </si>
  <si>
    <t>a) fine</t>
  </si>
  <si>
    <t>b) coarse</t>
  </si>
  <si>
    <t>Concrete:</t>
  </si>
  <si>
    <t>a) Class 15/20</t>
  </si>
  <si>
    <t>m3</t>
  </si>
  <si>
    <t>b) Class 20/20</t>
  </si>
  <si>
    <t>c) Class 25/20</t>
  </si>
  <si>
    <t>d) Class 30/20</t>
  </si>
  <si>
    <t>Waterproofing</t>
  </si>
  <si>
    <t>a) Damp Proof Membrane</t>
  </si>
  <si>
    <t>m2</t>
  </si>
  <si>
    <t>b) Damp Proof Course</t>
  </si>
  <si>
    <t>c) Liquid-applied waterproofing</t>
  </si>
  <si>
    <t>d) Cementitious waterproof</t>
  </si>
  <si>
    <t>e) Integral waterproofing admixture to concrete</t>
  </si>
  <si>
    <t>f) Sealants to joints, penetrations and construction joints</t>
  </si>
  <si>
    <t>g) Protection layers to waterproofing membranes</t>
  </si>
  <si>
    <t>Formwork</t>
  </si>
  <si>
    <t>a) F1</t>
  </si>
  <si>
    <t>b) F2</t>
  </si>
  <si>
    <t>c) F3</t>
  </si>
  <si>
    <t>150mm Blockwork</t>
  </si>
  <si>
    <t>200mm Blockwork</t>
  </si>
  <si>
    <t>Bitumen and emulsions</t>
  </si>
  <si>
    <t>a) 80/100 penetration grade bitumen</t>
  </si>
  <si>
    <t>litre</t>
  </si>
  <si>
    <t>b) MC 3000 cut-back bitumen</t>
  </si>
  <si>
    <t>c) MC 70 cut-back biume</t>
  </si>
  <si>
    <t>d) K1-60 bitumen emulsion</t>
  </si>
  <si>
    <t>Chippings</t>
  </si>
  <si>
    <t>a) nominal size 6/10</t>
  </si>
  <si>
    <t>b) nominal size 10/14</t>
  </si>
  <si>
    <t>Gabion Size 2.0 x 1.0 x 1.0m</t>
  </si>
  <si>
    <t>Rock fill to gabions</t>
  </si>
  <si>
    <t>Imported Fill (marrum)</t>
  </si>
  <si>
    <t>Imported fill (Hardcore)</t>
  </si>
  <si>
    <t>Bill No.</t>
  </si>
  <si>
    <t>FURNITURE AND EQUIPMENT FOR THE ENGINEER OFFICE</t>
  </si>
  <si>
    <t>Executive office desk with side returns with open shelves and drawer, leatherette writing pad, equipped with grommets for wire management (minimum surface area 2.8 m)</t>
  </si>
  <si>
    <t>High back executive swivel ergonomic leather chair adjustable height</t>
  </si>
  <si>
    <t>1.4 m long office desk, with lockable drawers</t>
  </si>
  <si>
    <t>Visitor’s seats with armrest</t>
  </si>
  <si>
    <t>Typist table complete with a chair</t>
  </si>
  <si>
    <t>4-drawer lockable steel fire proof filing cabinets with combination locks</t>
  </si>
  <si>
    <t>3 m × 3 levels wooden lockable cabinets with high swing glass doors and lower level in wooden doors</t>
  </si>
  <si>
    <t>4 Way detachable workstation office desk 2.4 m × 2.4 m with lockable drawers and screens</t>
  </si>
  <si>
    <t>Conference table for 10 sitting positions minimum size 1.8 m × 4.8 m with power and data sockets</t>
  </si>
  <si>
    <t>High back executive swivel orthopedic chair adjustable height</t>
  </si>
  <si>
    <t>Lockable cupboards</t>
  </si>
  <si>
    <t>Soft board for wall notices, drawings &amp; other civil works 1.2 m × 0.9 m</t>
  </si>
  <si>
    <t>Refrigerator, 138 liter capacity</t>
  </si>
  <si>
    <t>Fire extinguishers, CO₂ type, 9 kg capacity</t>
  </si>
  <si>
    <t>First aid kit for general purposes</t>
  </si>
  <si>
    <t>Provide and maintain with Toner HP CF066A LaserJet Enterprise M725F Multi-Function Printer or similar approved laser printer</t>
  </si>
  <si>
    <t>3 No. reams of A4 Printing Paper and 1 No. ream of A3 Printing Paper per month for the duration of the Contract</t>
  </si>
  <si>
    <t>1 Box of fine point ball pens per month for the duration of the Contract</t>
  </si>
  <si>
    <t>Electronic Scientific Calculator 12 figures (Casio fx-95 or equivalent)</t>
  </si>
  <si>
    <t>2 No. ordinary size stapler complete with staple pins for the duration of the Contract, ordinary size paper punch</t>
  </si>
  <si>
    <t>Laptops</t>
  </si>
  <si>
    <t>Water dispensers and refill for the duration of the Contract</t>
  </si>
  <si>
    <t>Provide and maintain one (1) approved branded desktop computer with the following: Intel Core i7 processor, 20" TFT screen display, 1000 GB SATA HDD storage, 16 GB DDR RAM, DVD RW multi-layer drive, NIC card, 540 m graphics card complete with accessories and pre-loaded licensed Windows 7 Ultimate 64-bit OS, latest MS Office and MS Project. PC should have full multimedia capabilities</t>
  </si>
  <si>
    <t>Unlimited 40 Mbps or more wireless high speed Internet for the duration of the Contract</t>
  </si>
  <si>
    <t>FURNITURE AND EQUIPMENT FOR THE ENGINEER LABORATORY</t>
  </si>
  <si>
    <t>Desk 2.2 × 0.9 m with 1 chest of drawers</t>
  </si>
  <si>
    <t>Office chairs, standard</t>
  </si>
  <si>
    <t>4-drawer steel lockable filing cabinet</t>
  </si>
  <si>
    <t>Electronic scientific calculator, 12 figures</t>
  </si>
  <si>
    <t>Fire extinguisher, 10 litre capacity, CO₂ type</t>
  </si>
  <si>
    <t>Steel filing cabinet, 4 drawers, lockable</t>
  </si>
  <si>
    <t>Book shelf, 3 shelves, 1.2 m long</t>
  </si>
  <si>
    <t>First aid kit</t>
  </si>
  <si>
    <t>Compaction mould complete with base plate and extension collar</t>
  </si>
  <si>
    <t>2.5 kg compaction hammer</t>
  </si>
  <si>
    <t>4.535 kg compaction rammer</t>
  </si>
  <si>
    <t>Straight edge 300 mm with handles</t>
  </si>
  <si>
    <t>Galvanized sample tray 1 × 0.5 × 75 mm</t>
  </si>
  <si>
    <t>75 mm brush</t>
  </si>
  <si>
    <t>Semi-automatic electronic balance 25 kg capacity</t>
  </si>
  <si>
    <t>20 mm BS sieve (300 mm dia)</t>
  </si>
  <si>
    <t>Stop clock</t>
  </si>
  <si>
    <t>Thermostatically controlled electric oven</t>
  </si>
  <si>
    <t>Moisture tin 90 mm × 20 mm</t>
  </si>
  <si>
    <t>Semi-automatic cone penetrometer</t>
  </si>
  <si>
    <t>Test gauge</t>
  </si>
  <si>
    <t>Penetration test cup</t>
  </si>
  <si>
    <t>Penetration test cone</t>
  </si>
  <si>
    <t>Glass plate</t>
  </si>
  <si>
    <t>Density (Sand Replacement Method BS 1377)</t>
  </si>
  <si>
    <t>Metal container (450 mm dia)</t>
  </si>
  <si>
    <t>Stainless steel tray 305 mm dia</t>
  </si>
  <si>
    <t>Metal tray with 150 mm hole in centre</t>
  </si>
  <si>
    <t>Metal tray with 200 mm hole in centre</t>
  </si>
  <si>
    <t>Steel pegs for tray fixing</t>
  </si>
  <si>
    <t>Sand pouring cylinder 150 mm dia</t>
  </si>
  <si>
    <t>Sand pouring cylinder 215 mm dia</t>
  </si>
  <si>
    <t>Cold steel chisel 20 × 300 mm</t>
  </si>
  <si>
    <t>Cold steel chisel 10 × 250 mm</t>
  </si>
  <si>
    <t>Mason hammers and rubber mallet set</t>
  </si>
  <si>
    <t>Set</t>
  </si>
  <si>
    <t>Scoop for removing excavated material</t>
  </si>
  <si>
    <t>100 mm brush soft</t>
  </si>
  <si>
    <t>50 mm brush soft</t>
  </si>
  <si>
    <t>Calibration can 150 mm × 150 mm</t>
  </si>
  <si>
    <t>Calibration can 200 mm × 250 mm</t>
  </si>
  <si>
    <t>CBR Equipment</t>
  </si>
  <si>
    <t>CBR mould 152.4 mm dia × 178 mm high</t>
  </si>
  <si>
    <t>Perforated swell plate 150 mm dia</t>
  </si>
  <si>
    <t>Swell tripod</t>
  </si>
  <si>
    <t>Swell dial gauge</t>
  </si>
  <si>
    <t>2.27 kg slotted surcharge weight</t>
  </si>
  <si>
    <t>2.27 kg annular surcharge weight</t>
  </si>
  <si>
    <t>2.8 kg solid base plate for CBR mould</t>
  </si>
  <si>
    <t>Central extruder with hydraulic jack</t>
  </si>
  <si>
    <t>Spacer disc with T-handle</t>
  </si>
  <si>
    <t>Soaking tank for CBR mould</t>
  </si>
  <si>
    <t>Specific Gravity for Aggregates</t>
  </si>
  <si>
    <t xml:space="preserve">Pycnometer of 1Lcapacity </t>
  </si>
  <si>
    <t>Electronic automatic 5KG balance to 0.1g to be of size and typw to permit the basket containing the sample to be suspended in water (to be supplied with weights)</t>
  </si>
  <si>
    <t>Sieve Analysis</t>
  </si>
  <si>
    <t>Sieve set 300 mm dia (various sizes)</t>
  </si>
  <si>
    <t>Sieve 200 mm dia (various sizes)</t>
  </si>
  <si>
    <t>Riffle box with 50 mm slots</t>
  </si>
  <si>
    <t>Concrete – Slump &amp; Cube Tests</t>
  </si>
  <si>
    <t>Slump cone with tamping rod</t>
  </si>
  <si>
    <t>Steel rule 300 mm &amp; 600 mm</t>
  </si>
  <si>
    <t>Concrete cube moulds 150 mm</t>
  </si>
  <si>
    <t>Large curing tank (50 cubes)</t>
  </si>
  <si>
    <t>Cube tamping rod and spanner</t>
  </si>
  <si>
    <t>Beaker 250 ml</t>
  </si>
  <si>
    <t>Tamping rod 8 mm dia × 300 mm</t>
  </si>
  <si>
    <t>Flakiness gauge</t>
  </si>
  <si>
    <t>Tray Spray &amp; Spread Rate Tests</t>
  </si>
  <si>
    <t>Steel tray 306 × 306 × 38 mm</t>
  </si>
  <si>
    <t>Gunny sacks</t>
  </si>
  <si>
    <t>Plastic bag 900 × 450 mm</t>
  </si>
  <si>
    <t>Plastic bag 450 × 300 mm</t>
  </si>
  <si>
    <t>Filter paper 150 mm dia</t>
  </si>
  <si>
    <t>Miscellaneous</t>
  </si>
  <si>
    <t>Gas cylinders 13 kg</t>
  </si>
  <si>
    <t>Padlocks</t>
  </si>
  <si>
    <t>Plastic jerry cans 20 L</t>
  </si>
  <si>
    <t>Permanent marker pens</t>
  </si>
  <si>
    <t>Paper punch</t>
  </si>
  <si>
    <t>Stapler with pins</t>
  </si>
  <si>
    <t>Pkts</t>
  </si>
  <si>
    <t>Tray lifting calipers</t>
  </si>
  <si>
    <t>Laboratory dust coats (brown)</t>
  </si>
  <si>
    <t>Laboratory dust coats (white)</t>
  </si>
  <si>
    <t>Asbestos gloves</t>
  </si>
  <si>
    <t>Laboratory gumboots</t>
  </si>
  <si>
    <t>Wheel barrow</t>
  </si>
  <si>
    <t>Dust pan with brush</t>
  </si>
  <si>
    <t>Hand shovel</t>
  </si>
  <si>
    <t>Pick axe with handle</t>
  </si>
  <si>
    <t>Metal scoop large</t>
  </si>
  <si>
    <t>Garden trowel</t>
  </si>
  <si>
    <t>Sample tray 306 × 306 × 38 mm</t>
  </si>
  <si>
    <t>Spatula 200 mm blade</t>
  </si>
  <si>
    <t>Spatula 100 mm blade</t>
  </si>
  <si>
    <t>BS sieve brush</t>
  </si>
  <si>
    <t>Measuring cylinders set</t>
  </si>
  <si>
    <t>Glass jar 5 L</t>
  </si>
  <si>
    <t>Cadmium plated aluminium tin</t>
  </si>
  <si>
    <t>Electronic balance 1000 g</t>
  </si>
  <si>
    <t>Electronic balance 2100 g</t>
  </si>
  <si>
    <t>Electronic balance 50 kg</t>
  </si>
  <si>
    <t>Dial-O-gram balance</t>
  </si>
  <si>
    <t>Field scale with scoop</t>
  </si>
  <si>
    <t>Set of stiff broom and soft broom</t>
  </si>
  <si>
    <t>Digital vernier calipers 150 mm</t>
  </si>
  <si>
    <t>Digital vernier calipers 200 mm</t>
  </si>
  <si>
    <t>Pestle and mortar</t>
  </si>
  <si>
    <t>Linear shrinkage mould</t>
  </si>
  <si>
    <t>Average least dimension gauge</t>
  </si>
  <si>
    <t>Plastic/metal bucket 10 L</t>
  </si>
  <si>
    <t>Polythene wash bottle</t>
  </si>
  <si>
    <t>A4 size clipboard</t>
  </si>
  <si>
    <t>Mercury thermometer</t>
  </si>
  <si>
    <t>Minimum &amp; maximum thermometer</t>
  </si>
  <si>
    <t>Rain gauge</t>
  </si>
  <si>
    <t>Portable dial thermometer</t>
  </si>
  <si>
    <t>Dial thermometer long stem</t>
  </si>
  <si>
    <t>Reference Standards</t>
  </si>
  <si>
    <t>BS 1377 – Methods of testing soils for civil engineering purposes</t>
  </si>
  <si>
    <t>BS 1881 – Methods of testing concrete</t>
  </si>
  <si>
    <t>BS 1924 – Stabilized materials for civil engineering purposes</t>
  </si>
  <si>
    <t>BS EN 1008 – Mixing water for concrete</t>
  </si>
  <si>
    <t>BS EN 196 – Methods of testing cement</t>
  </si>
  <si>
    <t>Marshall Test (ASTM D1559)</t>
  </si>
  <si>
    <t>Thermometer (50°C to 250°C)</t>
  </si>
  <si>
    <t>Flat bottomed scoop</t>
  </si>
  <si>
    <t>Steel garden trowel</t>
  </si>
  <si>
    <t>Large steel spoon</t>
  </si>
  <si>
    <t>Heat resistant gloves</t>
  </si>
  <si>
    <t>Pair</t>
  </si>
  <si>
    <t>Volumetric flask set</t>
  </si>
  <si>
    <t>Paraffin wax</t>
  </si>
  <si>
    <t>kg</t>
  </si>
  <si>
    <t>Gas</t>
  </si>
  <si>
    <t>SURVEY EQUIPMENT</t>
  </si>
  <si>
    <t>Engineer’s automatic level Wild NAK-2 or similar including tripod</t>
  </si>
  <si>
    <t>Set of tripods (Wild or similar)</t>
  </si>
  <si>
    <t>Survey umbrella</t>
  </si>
  <si>
    <t>3 m ranging rod (metallic)</t>
  </si>
  <si>
    <t>Levelling staff 5 m with levelling bubble (Wild NLE3 or similar)</t>
  </si>
  <si>
    <t>30 m steel white face tape</t>
  </si>
  <si>
    <t>100 m steel band tape</t>
  </si>
  <si>
    <t>3 m tape measure</t>
  </si>
  <si>
    <t>Steel tape repair outfit</t>
  </si>
  <si>
    <t>2 kg hammer</t>
  </si>
  <si>
    <t>Pangas 16" straight</t>
  </si>
  <si>
    <t>Theodolite equivalent to type WILD T2E</t>
  </si>
  <si>
    <t>Aluminium straight edges, length 3 m including measuring devices</t>
  </si>
  <si>
    <t>Sun shades</t>
  </si>
  <si>
    <t>Total station complete with field data collector (TOPCON Model ITS-722 or similar) including accessories and supporting software</t>
  </si>
  <si>
    <t>CONTRACTOR'S EQUIPMENT</t>
  </si>
  <si>
    <t>Cat D6 bulldozer or equivalent with Dozer/Ripper attachment</t>
  </si>
  <si>
    <t>Cat 140H motor grader or equivalent complete with scarifier</t>
  </si>
  <si>
    <t>Vibrating roller (15 tonnes)</t>
  </si>
  <si>
    <t>Hand propelled vibrating roller</t>
  </si>
  <si>
    <t>Cat 950C wheel loader or equivalent</t>
  </si>
  <si>
    <t>15 tonne tipper lorry</t>
  </si>
  <si>
    <t>2 cm/hr dewatering pump</t>
  </si>
  <si>
    <t>Concrete mixer 0.3 – 0.7 m³/min</t>
  </si>
  <si>
    <t>Sheep foot roller – 15 tons</t>
  </si>
  <si>
    <t>Excavator with loader attachment – 1.7 m³</t>
  </si>
  <si>
    <t>Pick-up truck (1 – 1.5 tonne capacity)</t>
  </si>
  <si>
    <t>Compressor with drill (250 c.f.m) complete with tools, hoses and steel bits</t>
  </si>
  <si>
    <t>Concrete vibrator (poker type)</t>
  </si>
  <si>
    <t>Self-propelled water tanker (6,000–20,000 litres) with pick-up pump</t>
  </si>
  <si>
    <t>BASIS OF RATES</t>
  </si>
  <si>
    <t>Group</t>
  </si>
  <si>
    <t>Basis</t>
  </si>
  <si>
    <t>Primary source / note</t>
  </si>
  <si>
    <t>Road BOQ items</t>
  </si>
  <si>
    <t>Used Nyanza Region CEM 2025 work item rates for road-related items (site clearance, earthworks, excavation, gravel).</t>
  </si>
  <si>
    <t>Uploaded file: Nyanza_Region.pdf (Nyanza manual)</t>
  </si>
  <si>
    <t>Building/structural items</t>
  </si>
  <si>
    <t>Used Costs Handbook 2025/2026 Western region rates for concrete, waterproofing, blockwork, chainlink/barbed wire materials and related benchmarks.</t>
  </si>
  <si>
    <t>Uploaded file: Cost Handbook For Construction Works (20252026).pdf</t>
  </si>
  <si>
    <t>Dayworks plant/labour/materials</t>
  </si>
  <si>
    <t>Used Nyanza Appendix 1 rates where available; scaled adjacent classes where exact class was not listed.</t>
  </si>
  <si>
    <t>Uploaded file: Nyanza_Region.pdf Appendix 1</t>
  </si>
  <si>
    <t>Office and ICT items</t>
  </si>
  <si>
    <t>Estimated from current Kenya online market prices for desks, chairs, laptops, desktops, printer, refrigerator, extinguishers and internet.</t>
  </si>
  <si>
    <t>https://neilanfurniture.com/ ; https://ke.microless.com/ ; https://www.jumia.co.ke/ ; https://starlink.com/ke/residential</t>
  </si>
  <si>
    <t>Survey equipment</t>
  </si>
  <si>
    <t>Estimated from current Kenya surveying equipment listings for automatic level and total station; related items benchmarked proportionally.</t>
  </si>
  <si>
    <t>https://geoscopeinstruments.com/</t>
  </si>
  <si>
    <t>Lab equipment</t>
  </si>
  <si>
    <t>Specialised items estimated from supplier/quotation benchmarks and adjusted to 2025/26 market levels; small tools benchmarked from local lab supply prices.</t>
  </si>
  <si>
    <t>https://www.scribd.com/document/479989003/ITHATECH-LTD2 ; https://www.scribd.com/document/736572622/Quote-1662-Edited-3 ; https://www.scribd.com/document/481769892/Proforma-Invoice-2020-0003-AEAL-1-pdf ; https://sciencelab.co.ke/</t>
  </si>
  <si>
    <t>Geotextile/filter fabric</t>
  </si>
  <si>
    <t>Estimated from Kenya online retail market per m2 for 300gsm geotextile rolls.</t>
  </si>
  <si>
    <t>https://www.ebuild.ke/ ; https://www.metrotools.co.ke/</t>
  </si>
  <si>
    <t>Equipment hire checks</t>
  </si>
  <si>
    <t>Cross-checked plant assumptions against recent Kenya equipment-hire references.</t>
  </si>
  <si>
    <t>https://www.constructionkenya.com/8865/equipment-hire-rates-kenya/ ; https://assa.co.ke/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</si>
</sst>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name val="Times New Roman"/>
      <family val="1"/>
    </font>
    <font>
      <u/>
      <sz val="12"/>
      <name val="Times New Roman"/>
      <family val="1"/>
    </font>
    <font>
      <sz val="12"/>
      <name val="Times New Roman"/>
      <family val="1"/>
    </font>
    <font>
      <sz val="10"/>
      <name val="Arial"/>
      <family val="2"/>
    </font>
    <font>
      <b/>
      <sz val="14"/>
      <name val="Calibri"/>
    </font>
    <font>
      <b/>
      <sz val="11"/>
      <name val="Calibri"/>
    </font>
  </fonts>
  <fills count="3">
    <fill>
      <patternFill patternType="none"/>
    </fill>
    <fill>
      <patternFill patternType="gray125"/>
    </fill>
    <fill>
      <patternFill patternType="solid">
        <fgColor rgb="FFD9EAD3"/>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51">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left" vertical="top"/>
    </xf>
    <xf numFmtId="0" fontId="0" fillId="0" borderId="0" xfId="0" applyAlignment="1">
      <alignment horizontal="center" vertical="top"/>
    </xf>
    <xf numFmtId="0" fontId="1" fillId="0" borderId="1" xfId="0" applyFont="1" applyBorder="1"/>
    <xf numFmtId="0" fontId="0" fillId="0" borderId="1" xfId="0" applyBorder="1" applyAlignment="1">
      <alignment horizontal="left"/>
    </xf>
    <xf numFmtId="0" fontId="0" fillId="0" borderId="1" xfId="0" applyBorder="1"/>
    <xf numFmtId="0" fontId="0" fillId="0" borderId="1" xfId="0" applyBorder="1" applyAlignment="1">
      <alignment horizontal="left" vertical="top" wrapText="1"/>
    </xf>
    <xf numFmtId="0" fontId="0" fillId="0" borderId="1" xfId="0" applyBorder="1" applyAlignment="1">
      <alignment wrapText="1"/>
    </xf>
    <xf numFmtId="0" fontId="1" fillId="0" borderId="1" xfId="0" applyFont="1" applyBorder="1" applyAlignment="1">
      <alignment horizontal="left"/>
    </xf>
    <xf numFmtId="0" fontId="1" fillId="0" borderId="1" xfId="0" applyFont="1" applyBorder="1" applyAlignment="1">
      <alignment horizontal="left" vertical="top"/>
    </xf>
    <xf numFmtId="0" fontId="1" fillId="0" borderId="1" xfId="0" applyFont="1" applyBorder="1" applyAlignment="1">
      <alignment vertical="top" wrapText="1"/>
    </xf>
    <xf numFmtId="0" fontId="0" fillId="0" borderId="1" xfId="0" applyBorder="1" applyAlignment="1">
      <alignment vertical="center" wrapText="1"/>
    </xf>
    <xf numFmtId="3" fontId="0" fillId="0" borderId="1" xfId="0" applyNumberFormat="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0" borderId="7" xfId="0" applyBorder="1"/>
    <xf numFmtId="0" fontId="1" fillId="0" borderId="1" xfId="0" applyFont="1" applyBorder="1" applyAlignment="1">
      <alignment wrapText="1"/>
    </xf>
    <xf numFmtId="3" fontId="0" fillId="0" borderId="1" xfId="0" applyNumberFormat="1" applyBorder="1" applyAlignment="1">
      <alignment vertical="center" wrapText="1"/>
    </xf>
    <xf numFmtId="0" fontId="0" fillId="0" borderId="1" xfId="0" applyBorder="1" applyAlignment="1">
      <alignment horizontal="left" vertical="top"/>
    </xf>
    <xf numFmtId="0" fontId="0" fillId="0" borderId="1" xfId="0" applyBorder="1" applyAlignment="1">
      <alignment horizontal="left" wrapText="1"/>
    </xf>
    <xf numFmtId="0" fontId="0" fillId="0" borderId="1" xfId="0" applyBorder="1" applyAlignment="1">
      <alignment horizontal="center" vertical="top" wrapText="1"/>
    </xf>
    <xf numFmtId="0" fontId="0" fillId="0" borderId="1" xfId="0" applyBorder="1" applyAlignment="1">
      <alignment horizontal="center" vertical="top"/>
    </xf>
    <xf numFmtId="0" fontId="1" fillId="0" borderId="1" xfId="0" applyFont="1" applyBorder="1" applyAlignment="1">
      <alignment horizontal="center" vertical="top"/>
    </xf>
    <xf numFmtId="0" fontId="0" fillId="0" borderId="1" xfId="0" applyBorder="1" applyAlignment="1">
      <alignment horizontal="left" vertical="center" wrapText="1"/>
    </xf>
    <xf numFmtId="0" fontId="1" fillId="0" borderId="1"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xf>
    <xf numFmtId="0" fontId="3" fillId="0" borderId="1" xfId="0" applyFont="1" applyBorder="1" applyAlignment="1">
      <alignment wrapText="1"/>
    </xf>
    <xf numFmtId="0" fontId="4" fillId="0" borderId="1" xfId="0" applyFont="1" applyBorder="1" applyAlignment="1">
      <alignment horizontal="left" wrapText="1"/>
    </xf>
    <xf numFmtId="0" fontId="5" fillId="0" borderId="1" xfId="0" applyFont="1" applyBorder="1" applyAlignment="1">
      <alignment horizontal="center"/>
    </xf>
    <xf numFmtId="0" fontId="4" fillId="0" borderId="1" xfId="0" applyFont="1" applyBorder="1" applyAlignment="1">
      <alignment wrapText="1"/>
    </xf>
    <xf numFmtId="0" fontId="6" fillId="0" borderId="0" xfId="0" applyFont="1"/>
    <xf numFmtId="0" fontId="7" fillId="2" borderId="0" xfId="0" applyFont="1" applyFill="1"/>
    <xf numFmtId="0" fontId="0" fillId="0" borderId="0" xfId="0" applyAlignment="1">
      <alignment vertical="center" wrapText="1"/>
    </xf>
    <xf numFmtId="0" fontId="1" fillId="0" borderId="1" xfId="0" applyFont="1" applyBorder="1" applyAlignment="1">
      <alignment horizontal="center"/>
    </xf>
    <xf numFmtId="0" fontId="0" fillId="0" borderId="8" xfId="0" applyBorder="1"/>
    <xf numFmtId="0" fontId="0" fillId="0" borderId="9" xfId="0" applyBorder="1"/>
    <xf numFmtId="0" fontId="1" fillId="0" borderId="12" xfId="0" applyFont="1" applyBorder="1" applyAlignment="1">
      <alignment horizontal="center"/>
    </xf>
    <xf numFmtId="0" fontId="0" fillId="0" borderId="5" xfId="0" applyBorder="1"/>
    <xf numFmtId="0" fontId="0" fillId="0" borderId="6" xfId="0" applyBorder="1"/>
    <xf numFmtId="0" fontId="1" fillId="0" borderId="10" xfId="0" applyFont="1" applyBorder="1" applyAlignment="1">
      <alignment horizontal="center"/>
    </xf>
    <xf numFmtId="0" fontId="0" fillId="0" borderId="4" xfId="0" applyBorder="1"/>
    <xf numFmtId="0" fontId="0" fillId="0" borderId="2" xfId="0" applyBorder="1"/>
    <xf numFmtId="0" fontId="1" fillId="0" borderId="11" xfId="0" applyFont="1" applyBorder="1" applyAlignment="1">
      <alignment horizontal="center"/>
    </xf>
    <xf numFmtId="0" fontId="0" fillId="0" borderId="0" xfId="0"/>
    <xf numFmtId="0" fontId="0" fillId="0" borderId="3" xfId="0" applyBorder="1"/>
    <xf numFmtId="0" fontId="0" fillId="0" borderId="0" xfId="0" applyAlignment="1">
      <alignment horizontal="left" vertical="top"/>
    </xf>
    <xf numFmtId="0" fontId="0" fillId="0" borderId="0" xfId="0"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152400</xdr:colOff>
      <xdr:row>16</xdr:row>
      <xdr:rowOff>571500</xdr:rowOff>
    </xdr:to>
    <xdr:sp macro="" textlink="">
      <xdr:nvSpPr>
        <xdr:cNvPr id="1037" name="Text Box 13" hidden="1">
          <a:extLst>
            <a:ext uri="{FF2B5EF4-FFF2-40B4-BE49-F238E27FC236}">
              <a16:creationId xmlns:a16="http://schemas.microsoft.com/office/drawing/2014/main" id="{EAA36A41-7A6C-8CD6-974D-66D2337DE57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133350</xdr:colOff>
      <xdr:row>37</xdr:row>
      <xdr:rowOff>0</xdr:rowOff>
    </xdr:to>
    <xdr:sp macro="" textlink="">
      <xdr:nvSpPr>
        <xdr:cNvPr id="2054" name="Text Box 6" hidden="1">
          <a:extLst>
            <a:ext uri="{FF2B5EF4-FFF2-40B4-BE49-F238E27FC236}">
              <a16:creationId xmlns:a16="http://schemas.microsoft.com/office/drawing/2014/main" id="{8DA806FD-DCF3-F2D5-ABDB-1D1F03B053E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57150</xdr:colOff>
      <xdr:row>41</xdr:row>
      <xdr:rowOff>76200</xdr:rowOff>
    </xdr:to>
    <xdr:sp macro="" textlink="">
      <xdr:nvSpPr>
        <xdr:cNvPr id="3079" name="Text Box 7" hidden="1">
          <a:extLst>
            <a:ext uri="{FF2B5EF4-FFF2-40B4-BE49-F238E27FC236}">
              <a16:creationId xmlns:a16="http://schemas.microsoft.com/office/drawing/2014/main" id="{EC923D15-1A1F-0CFA-96F7-7A054FA73BD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371475</xdr:colOff>
      <xdr:row>41</xdr:row>
      <xdr:rowOff>0</xdr:rowOff>
    </xdr:to>
    <xdr:sp macro="" textlink="">
      <xdr:nvSpPr>
        <xdr:cNvPr id="4102" name="Text Box 6" hidden="1">
          <a:extLst>
            <a:ext uri="{FF2B5EF4-FFF2-40B4-BE49-F238E27FC236}">
              <a16:creationId xmlns:a16="http://schemas.microsoft.com/office/drawing/2014/main" id="{A499B737-68FC-C99A-35C2-44922C31E10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95250</xdr:colOff>
      <xdr:row>19</xdr:row>
      <xdr:rowOff>171450</xdr:rowOff>
    </xdr:to>
    <xdr:sp macro="" textlink="">
      <xdr:nvSpPr>
        <xdr:cNvPr id="5136" name="Text Box 16" hidden="1">
          <a:extLst>
            <a:ext uri="{FF2B5EF4-FFF2-40B4-BE49-F238E27FC236}">
              <a16:creationId xmlns:a16="http://schemas.microsoft.com/office/drawing/2014/main" id="{A99D8A7D-5F96-8867-79A5-A03ABC891DD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352425</xdr:colOff>
      <xdr:row>30</xdr:row>
      <xdr:rowOff>219075</xdr:rowOff>
    </xdr:to>
    <xdr:sp macro="" textlink="">
      <xdr:nvSpPr>
        <xdr:cNvPr id="6158" name="Text Box 14" hidden="1">
          <a:extLst>
            <a:ext uri="{FF2B5EF4-FFF2-40B4-BE49-F238E27FC236}">
              <a16:creationId xmlns:a16="http://schemas.microsoft.com/office/drawing/2014/main" id="{C3F01BC8-F670-EE75-6027-13DE5ED3F24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114300</xdr:colOff>
      <xdr:row>20</xdr:row>
      <xdr:rowOff>180975</xdr:rowOff>
    </xdr:to>
    <xdr:sp macro="" textlink="">
      <xdr:nvSpPr>
        <xdr:cNvPr id="7178" name="Text Box 10" hidden="1">
          <a:extLst>
            <a:ext uri="{FF2B5EF4-FFF2-40B4-BE49-F238E27FC236}">
              <a16:creationId xmlns:a16="http://schemas.microsoft.com/office/drawing/2014/main" id="{75AD499F-715B-0CA8-3D5C-81721412898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295275</xdr:colOff>
      <xdr:row>46</xdr:row>
      <xdr:rowOff>142875</xdr:rowOff>
    </xdr:to>
    <xdr:sp macro="" textlink="">
      <xdr:nvSpPr>
        <xdr:cNvPr id="8207" name="Text Box 15" hidden="1">
          <a:extLst>
            <a:ext uri="{FF2B5EF4-FFF2-40B4-BE49-F238E27FC236}">
              <a16:creationId xmlns:a16="http://schemas.microsoft.com/office/drawing/2014/main" id="{D681CCDD-94B3-8E7D-6007-57C7E64A90E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495300</xdr:colOff>
      <xdr:row>38</xdr:row>
      <xdr:rowOff>85725</xdr:rowOff>
    </xdr:to>
    <xdr:sp macro="" textlink="">
      <xdr:nvSpPr>
        <xdr:cNvPr id="9220" name="Text Box 4" hidden="1">
          <a:extLst>
            <a:ext uri="{FF2B5EF4-FFF2-40B4-BE49-F238E27FC236}">
              <a16:creationId xmlns:a16="http://schemas.microsoft.com/office/drawing/2014/main" id="{62C14AD0-6234-3AF1-F2AC-022C8CFD445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504825</xdr:colOff>
      <xdr:row>36</xdr:row>
      <xdr:rowOff>0</xdr:rowOff>
    </xdr:to>
    <xdr:sp macro="" textlink="">
      <xdr:nvSpPr>
        <xdr:cNvPr id="10249" name="Text Box 9" hidden="1">
          <a:extLst>
            <a:ext uri="{FF2B5EF4-FFF2-40B4-BE49-F238E27FC236}">
              <a16:creationId xmlns:a16="http://schemas.microsoft.com/office/drawing/2014/main" id="{4833A8C3-A61D-8C0D-6B78-AC133C86699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workbookViewId="0">
      <selection sqref="A1:C1"/>
    </sheetView>
  </sheetViews>
  <sheetFormatPr defaultRowHeight="15" x14ac:dyDescent="0.25"/>
  <cols>
    <col min="1" max="1" width="12.42578125" customWidth="1"/>
    <col min="2" max="2" width="56.5703125" customWidth="1"/>
    <col min="3" max="3" width="20.7109375" customWidth="1"/>
    <col min="4" max="4" width="17" customWidth="1"/>
    <col min="5" max="5" width="13.28515625" customWidth="1"/>
    <col min="6" max="6" width="15.140625" customWidth="1"/>
  </cols>
  <sheetData>
    <row r="1" spans="1:3" x14ac:dyDescent="0.25">
      <c r="A1" s="39" t="s">
        <v>0</v>
      </c>
      <c r="B1" s="40"/>
      <c r="C1" s="41"/>
    </row>
    <row r="2" spans="1:3" x14ac:dyDescent="0.25">
      <c r="A2" s="45" t="s">
        <v>1</v>
      </c>
      <c r="B2" s="46"/>
      <c r="C2" s="47"/>
    </row>
    <row r="3" spans="1:3" x14ac:dyDescent="0.25">
      <c r="A3" s="42" t="s">
        <v>2</v>
      </c>
      <c r="B3" s="43"/>
      <c r="C3" s="44"/>
    </row>
    <row r="4" spans="1:3" x14ac:dyDescent="0.25">
      <c r="A4" s="36" t="s">
        <v>3</v>
      </c>
      <c r="B4" s="37"/>
      <c r="C4" s="38"/>
    </row>
    <row r="5" spans="1:3" x14ac:dyDescent="0.25">
      <c r="A5" s="36" t="s">
        <v>4</v>
      </c>
      <c r="B5" s="37"/>
      <c r="C5" s="38"/>
    </row>
    <row r="6" spans="1:3" x14ac:dyDescent="0.25">
      <c r="A6" s="5" t="s">
        <v>5</v>
      </c>
      <c r="B6" s="5" t="s">
        <v>6</v>
      </c>
      <c r="C6" s="5" t="s">
        <v>7</v>
      </c>
    </row>
    <row r="7" spans="1:3" x14ac:dyDescent="0.25">
      <c r="A7" s="6">
        <v>1</v>
      </c>
      <c r="B7" s="7" t="s">
        <v>8</v>
      </c>
      <c r="C7" s="7">
        <f>'BoQ 1; Preliminaries'!F21</f>
        <v>18377000</v>
      </c>
    </row>
    <row r="8" spans="1:3" x14ac:dyDescent="0.25">
      <c r="A8" s="6">
        <v>4</v>
      </c>
      <c r="B8" s="7" t="s">
        <v>9</v>
      </c>
      <c r="C8" s="7">
        <f>'BoQ 4; Site Clearance'!F13</f>
        <v>8623050</v>
      </c>
    </row>
    <row r="9" spans="1:3" x14ac:dyDescent="0.25">
      <c r="A9" s="6">
        <v>5</v>
      </c>
      <c r="B9" s="7" t="s">
        <v>10</v>
      </c>
      <c r="C9" s="7">
        <f>'BoQ 5; Earthworks'!F14</f>
        <v>215418000</v>
      </c>
    </row>
    <row r="10" spans="1:3" x14ac:dyDescent="0.25">
      <c r="A10" s="6">
        <v>7</v>
      </c>
      <c r="B10" s="7" t="s">
        <v>11</v>
      </c>
      <c r="C10" s="7">
        <f>'BoQ 7; Excavation'!F13</f>
        <v>19135700</v>
      </c>
    </row>
    <row r="11" spans="1:3" x14ac:dyDescent="0.25">
      <c r="A11" s="6">
        <v>10</v>
      </c>
      <c r="B11" s="7" t="s">
        <v>12</v>
      </c>
      <c r="C11" s="7">
        <f>'BoQ 10&amp;20; Gravel &amp; RDfurniture'!F9</f>
        <v>5030300</v>
      </c>
    </row>
    <row r="12" spans="1:3" x14ac:dyDescent="0.25">
      <c r="A12" s="6">
        <v>20</v>
      </c>
      <c r="B12" s="7" t="s">
        <v>13</v>
      </c>
      <c r="C12" s="7">
        <f>'BoQ 10&amp;20; Gravel &amp; RDfurniture'!F28</f>
        <v>12633000</v>
      </c>
    </row>
    <row r="13" spans="1:3" x14ac:dyDescent="0.25">
      <c r="A13" s="6">
        <v>22</v>
      </c>
      <c r="B13" s="7" t="s">
        <v>14</v>
      </c>
      <c r="C13" s="7">
        <f>'BoQ 22; Dayworks'!F153</f>
        <v>5467077</v>
      </c>
    </row>
    <row r="14" spans="1:3" x14ac:dyDescent="0.25">
      <c r="A14" s="7" t="s">
        <v>15</v>
      </c>
      <c r="B14" s="7" t="s">
        <v>16</v>
      </c>
      <c r="C14" s="7">
        <f>SUM(C7:C13)</f>
        <v>284684127</v>
      </c>
    </row>
    <row r="15" spans="1:3" x14ac:dyDescent="0.25">
      <c r="A15" s="7"/>
      <c r="B15" s="7"/>
      <c r="C15" s="7"/>
    </row>
    <row r="16" spans="1:3" ht="45.75" customHeight="1" x14ac:dyDescent="0.25">
      <c r="A16" s="7" t="s">
        <v>17</v>
      </c>
      <c r="B16" s="8" t="s">
        <v>18</v>
      </c>
      <c r="C16" s="7">
        <f>0.05*C14</f>
        <v>14234206.350000001</v>
      </c>
    </row>
    <row r="17" spans="1:3" x14ac:dyDescent="0.25">
      <c r="A17" s="7"/>
      <c r="B17" s="7"/>
      <c r="C17" s="7"/>
    </row>
    <row r="18" spans="1:3" x14ac:dyDescent="0.25">
      <c r="A18" s="7" t="s">
        <v>19</v>
      </c>
      <c r="B18" s="7" t="s">
        <v>20</v>
      </c>
      <c r="C18" s="7">
        <f>C14+C16</f>
        <v>298918333.35000002</v>
      </c>
    </row>
    <row r="19" spans="1:3" x14ac:dyDescent="0.25">
      <c r="A19" s="7"/>
      <c r="B19" s="7"/>
      <c r="C19" s="7"/>
    </row>
    <row r="20" spans="1:3" x14ac:dyDescent="0.25">
      <c r="A20" s="7" t="s">
        <v>21</v>
      </c>
      <c r="B20" s="7" t="s">
        <v>22</v>
      </c>
      <c r="C20" s="7">
        <f>0.16*C18</f>
        <v>47826933.336000003</v>
      </c>
    </row>
    <row r="21" spans="1:3" x14ac:dyDescent="0.25">
      <c r="A21" s="7"/>
      <c r="B21" s="7"/>
      <c r="C21" s="7"/>
    </row>
    <row r="22" spans="1:3" x14ac:dyDescent="0.25">
      <c r="A22" s="7" t="s">
        <v>23</v>
      </c>
      <c r="B22" s="7" t="s">
        <v>24</v>
      </c>
      <c r="C22" s="7">
        <f>C18+C20</f>
        <v>346745266.68600005</v>
      </c>
    </row>
    <row r="23" spans="1:3" x14ac:dyDescent="0.25">
      <c r="A23" s="7"/>
      <c r="B23" s="7"/>
      <c r="C23" s="7"/>
    </row>
    <row r="24" spans="1:3" ht="30" customHeight="1" x14ac:dyDescent="0.25">
      <c r="A24" s="7" t="s">
        <v>25</v>
      </c>
      <c r="B24" s="9" t="s">
        <v>26</v>
      </c>
      <c r="C24" s="7">
        <f>0.0003*C22</f>
        <v>104023.5800058</v>
      </c>
    </row>
    <row r="25" spans="1:3" x14ac:dyDescent="0.25">
      <c r="A25" s="7"/>
      <c r="B25" s="7"/>
      <c r="C25" s="7"/>
    </row>
    <row r="26" spans="1:3" x14ac:dyDescent="0.25">
      <c r="A26" s="7"/>
      <c r="B26" s="7" t="s">
        <v>27</v>
      </c>
      <c r="C26" s="7">
        <f>C22+C24</f>
        <v>346849290.26600587</v>
      </c>
    </row>
  </sheetData>
  <mergeCells count="5">
    <mergeCell ref="A5:C5"/>
    <mergeCell ref="A1:C1"/>
    <mergeCell ref="A3:C3"/>
    <mergeCell ref="A4:C4"/>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heetViews>
  <sheetFormatPr defaultRowHeight="15" x14ac:dyDescent="0.25"/>
  <cols>
    <col min="1" max="1" width="25.140625" style="2" customWidth="1"/>
    <col min="2" max="2" width="40.42578125" customWidth="1"/>
    <col min="3" max="3" width="23.42578125" customWidth="1"/>
    <col min="4" max="5" width="10" customWidth="1"/>
    <col min="6" max="6" width="13.28515625" customWidth="1"/>
  </cols>
  <sheetData>
    <row r="1" spans="1:6" x14ac:dyDescent="0.25">
      <c r="A1" s="39" t="s">
        <v>0</v>
      </c>
      <c r="B1" s="40"/>
      <c r="C1" s="40"/>
      <c r="D1" s="40"/>
      <c r="E1" s="40"/>
      <c r="F1" s="41"/>
    </row>
    <row r="2" spans="1:6" x14ac:dyDescent="0.25">
      <c r="A2" s="45" t="s">
        <v>1</v>
      </c>
      <c r="B2" s="46"/>
      <c r="C2" s="46"/>
      <c r="D2" s="46"/>
      <c r="E2" s="46"/>
      <c r="F2" s="47"/>
    </row>
    <row r="3" spans="1:6" x14ac:dyDescent="0.25">
      <c r="A3" s="42" t="s">
        <v>2</v>
      </c>
      <c r="B3" s="43"/>
      <c r="C3" s="43"/>
      <c r="D3" s="43"/>
      <c r="E3" s="43"/>
      <c r="F3" s="44"/>
    </row>
    <row r="4" spans="1:6" x14ac:dyDescent="0.25">
      <c r="A4" s="10" t="s">
        <v>3</v>
      </c>
      <c r="B4" s="5"/>
      <c r="C4" s="5"/>
      <c r="D4" s="7"/>
      <c r="E4" s="7"/>
      <c r="F4" s="7"/>
    </row>
    <row r="5" spans="1:6" x14ac:dyDescent="0.25">
      <c r="A5" s="10" t="s">
        <v>28</v>
      </c>
      <c r="B5" s="5" t="s">
        <v>29</v>
      </c>
      <c r="C5" s="5"/>
      <c r="D5" s="7"/>
      <c r="E5" s="7"/>
      <c r="F5" s="7"/>
    </row>
    <row r="6" spans="1:6" x14ac:dyDescent="0.25">
      <c r="A6" s="10" t="s">
        <v>30</v>
      </c>
      <c r="B6" s="5" t="s">
        <v>6</v>
      </c>
      <c r="C6" s="5" t="s">
        <v>31</v>
      </c>
      <c r="D6" s="5" t="s">
        <v>32</v>
      </c>
      <c r="E6" s="5" t="s">
        <v>33</v>
      </c>
      <c r="F6" s="5" t="s">
        <v>34</v>
      </c>
    </row>
    <row r="7" spans="1:6" ht="120" customHeight="1" x14ac:dyDescent="0.25">
      <c r="A7" s="20">
        <v>1.01</v>
      </c>
      <c r="B7" s="21" t="s">
        <v>35</v>
      </c>
      <c r="C7" s="7" t="s">
        <v>36</v>
      </c>
      <c r="D7" s="7">
        <v>1</v>
      </c>
      <c r="E7" s="7">
        <v>2000000</v>
      </c>
      <c r="F7" s="7">
        <f>D7*E7</f>
        <v>2000000</v>
      </c>
    </row>
    <row r="8" spans="1:6" ht="30" customHeight="1" x14ac:dyDescent="0.25">
      <c r="A8" s="20">
        <v>1.02</v>
      </c>
      <c r="B8" s="15" t="s">
        <v>37</v>
      </c>
      <c r="C8" s="7" t="s">
        <v>38</v>
      </c>
      <c r="D8" s="7">
        <v>1</v>
      </c>
      <c r="E8" s="7">
        <v>1500000</v>
      </c>
      <c r="F8" s="7">
        <f>D8*E8</f>
        <v>1500000</v>
      </c>
    </row>
    <row r="9" spans="1:6" ht="45" customHeight="1" x14ac:dyDescent="0.25">
      <c r="A9" s="20">
        <v>1.03</v>
      </c>
      <c r="B9" s="9" t="s">
        <v>39</v>
      </c>
      <c r="C9" s="7" t="s">
        <v>38</v>
      </c>
      <c r="D9" s="7">
        <v>1</v>
      </c>
      <c r="E9" s="7">
        <v>1800000</v>
      </c>
      <c r="F9" s="7">
        <f>D9*E9</f>
        <v>1800000</v>
      </c>
    </row>
    <row r="10" spans="1:6" ht="30" customHeight="1" x14ac:dyDescent="0.25">
      <c r="A10" s="20">
        <v>1.01</v>
      </c>
      <c r="B10" s="9" t="s">
        <v>40</v>
      </c>
      <c r="C10" s="7" t="s">
        <v>38</v>
      </c>
      <c r="D10" s="7">
        <v>1</v>
      </c>
      <c r="E10" s="7">
        <v>4000000</v>
      </c>
      <c r="F10" s="7">
        <f>E10*D10</f>
        <v>4000000</v>
      </c>
    </row>
    <row r="11" spans="1:6" ht="30" customHeight="1" x14ac:dyDescent="0.25">
      <c r="A11" s="20">
        <v>1.02</v>
      </c>
      <c r="B11" s="9" t="s">
        <v>41</v>
      </c>
      <c r="C11" s="7" t="s">
        <v>38</v>
      </c>
      <c r="D11" s="7">
        <v>1</v>
      </c>
      <c r="E11" s="7">
        <f>0.15*E10</f>
        <v>600000</v>
      </c>
      <c r="F11" s="7">
        <f t="shared" ref="F11:F19" si="0">D11*E11</f>
        <v>600000</v>
      </c>
    </row>
    <row r="12" spans="1:6" x14ac:dyDescent="0.25">
      <c r="A12" s="20">
        <v>1.03</v>
      </c>
      <c r="B12" s="9" t="s">
        <v>42</v>
      </c>
      <c r="C12" s="7" t="s">
        <v>43</v>
      </c>
      <c r="D12" s="7">
        <v>30</v>
      </c>
      <c r="E12" s="7">
        <v>40000</v>
      </c>
      <c r="F12" s="7">
        <f t="shared" si="0"/>
        <v>1200000</v>
      </c>
    </row>
    <row r="13" spans="1:6" ht="30" customHeight="1" x14ac:dyDescent="0.25">
      <c r="A13" s="8">
        <v>1.04</v>
      </c>
      <c r="B13" s="13" t="s">
        <v>44</v>
      </c>
      <c r="C13" s="13" t="s">
        <v>36</v>
      </c>
      <c r="D13" s="13">
        <v>1</v>
      </c>
      <c r="E13" s="13">
        <v>750000</v>
      </c>
      <c r="F13" s="13">
        <f t="shared" si="0"/>
        <v>750000</v>
      </c>
    </row>
    <row r="14" spans="1:6" ht="180" customHeight="1" x14ac:dyDescent="0.25">
      <c r="A14" s="8">
        <v>1.05</v>
      </c>
      <c r="B14" s="13" t="s">
        <v>45</v>
      </c>
      <c r="C14" s="13" t="s">
        <v>46</v>
      </c>
      <c r="D14" s="13">
        <v>14</v>
      </c>
      <c r="E14" s="13">
        <v>250000</v>
      </c>
      <c r="F14" s="13">
        <f t="shared" si="0"/>
        <v>3500000</v>
      </c>
    </row>
    <row r="15" spans="1:6" ht="60" customHeight="1" x14ac:dyDescent="0.25">
      <c r="A15" s="8">
        <v>1.06</v>
      </c>
      <c r="B15" s="13" t="s">
        <v>47</v>
      </c>
      <c r="C15" s="13" t="s">
        <v>48</v>
      </c>
      <c r="D15" s="19">
        <v>7200</v>
      </c>
      <c r="E15" s="13">
        <v>35</v>
      </c>
      <c r="F15" s="13">
        <f t="shared" si="0"/>
        <v>252000</v>
      </c>
    </row>
    <row r="16" spans="1:6" ht="75" customHeight="1" x14ac:dyDescent="0.25">
      <c r="A16" s="8">
        <v>1.07</v>
      </c>
      <c r="B16" s="13" t="s">
        <v>49</v>
      </c>
      <c r="C16" s="13" t="s">
        <v>50</v>
      </c>
      <c r="D16" s="13">
        <v>14</v>
      </c>
      <c r="E16" s="13">
        <v>10000</v>
      </c>
      <c r="F16" s="13">
        <f t="shared" si="0"/>
        <v>140000</v>
      </c>
    </row>
    <row r="17" spans="1:6" ht="120" customHeight="1" x14ac:dyDescent="0.25">
      <c r="A17" s="8">
        <v>1.08</v>
      </c>
      <c r="B17" s="13" t="s">
        <v>51</v>
      </c>
      <c r="C17" s="13" t="s">
        <v>52</v>
      </c>
      <c r="D17" s="13">
        <v>1</v>
      </c>
      <c r="E17" s="13">
        <v>35000</v>
      </c>
      <c r="F17" s="13">
        <f t="shared" si="0"/>
        <v>35000</v>
      </c>
    </row>
    <row r="18" spans="1:6" ht="45" customHeight="1" x14ac:dyDescent="0.25">
      <c r="A18" s="8">
        <v>1.0900000000000001</v>
      </c>
      <c r="B18" s="13" t="s">
        <v>53</v>
      </c>
      <c r="C18" s="13" t="s">
        <v>54</v>
      </c>
      <c r="D18" s="13">
        <v>14</v>
      </c>
      <c r="E18" s="13">
        <v>100000</v>
      </c>
      <c r="F18" s="13">
        <f t="shared" si="0"/>
        <v>1400000</v>
      </c>
    </row>
    <row r="19" spans="1:6" ht="60" customHeight="1" x14ac:dyDescent="0.25">
      <c r="A19" s="8">
        <v>1.1000000000000001</v>
      </c>
      <c r="B19" s="13" t="s">
        <v>55</v>
      </c>
      <c r="C19" s="13" t="s">
        <v>56</v>
      </c>
      <c r="D19" s="13">
        <v>1</v>
      </c>
      <c r="E19" s="13">
        <v>1200000</v>
      </c>
      <c r="F19" s="13">
        <f t="shared" si="0"/>
        <v>1200000</v>
      </c>
    </row>
    <row r="20" spans="1:6" x14ac:dyDescent="0.25">
      <c r="A20" s="6"/>
      <c r="B20" s="7"/>
      <c r="C20" s="7"/>
      <c r="D20" s="7"/>
      <c r="E20" s="7"/>
      <c r="F20" s="7"/>
    </row>
    <row r="21" spans="1:6" x14ac:dyDescent="0.25">
      <c r="A21" s="6"/>
      <c r="B21" s="7" t="s">
        <v>27</v>
      </c>
      <c r="C21" s="7"/>
      <c r="D21" s="7"/>
      <c r="E21" s="7"/>
      <c r="F21" s="7">
        <f>SUM(F7:F19)</f>
        <v>18377000</v>
      </c>
    </row>
  </sheetData>
  <mergeCells count="3">
    <mergeCell ref="A3:F3"/>
    <mergeCell ref="A2:F2"/>
    <mergeCell ref="A1:F1"/>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sheetViews>
  <sheetFormatPr defaultRowHeight="15" x14ac:dyDescent="0.25"/>
  <cols>
    <col min="1" max="1" width="24.140625" customWidth="1"/>
    <col min="2" max="2" width="27.85546875" customWidth="1"/>
    <col min="3" max="3" width="13.85546875" customWidth="1"/>
    <col min="4" max="4" width="13.28515625" customWidth="1"/>
    <col min="5" max="5" width="12.28515625" customWidth="1"/>
    <col min="6" max="6" width="12.85546875" customWidth="1"/>
  </cols>
  <sheetData>
    <row r="1" spans="1:6" x14ac:dyDescent="0.25">
      <c r="A1" s="39" t="s">
        <v>0</v>
      </c>
      <c r="B1" s="40"/>
      <c r="C1" s="40"/>
      <c r="D1" s="40"/>
      <c r="E1" s="40"/>
      <c r="F1" s="41"/>
    </row>
    <row r="2" spans="1:6" x14ac:dyDescent="0.25">
      <c r="A2" s="45" t="s">
        <v>1</v>
      </c>
      <c r="B2" s="46"/>
      <c r="C2" s="46"/>
      <c r="D2" s="46"/>
      <c r="E2" s="46"/>
      <c r="F2" s="47"/>
    </row>
    <row r="3" spans="1:6" x14ac:dyDescent="0.25">
      <c r="A3" s="42" t="s">
        <v>2</v>
      </c>
      <c r="B3" s="43"/>
      <c r="C3" s="43"/>
      <c r="D3" s="43"/>
      <c r="E3" s="43"/>
      <c r="F3" s="44"/>
    </row>
    <row r="4" spans="1:6" x14ac:dyDescent="0.25">
      <c r="A4" s="10" t="s">
        <v>3</v>
      </c>
      <c r="B4" s="5"/>
      <c r="C4" s="5"/>
      <c r="D4" s="7"/>
      <c r="E4" s="7"/>
      <c r="F4" s="7"/>
    </row>
    <row r="5" spans="1:6" ht="30" customHeight="1" x14ac:dyDescent="0.25">
      <c r="A5" s="11" t="s">
        <v>57</v>
      </c>
      <c r="B5" s="18" t="s">
        <v>58</v>
      </c>
      <c r="C5" s="5"/>
      <c r="D5" s="7"/>
      <c r="E5" s="7"/>
      <c r="F5" s="7"/>
    </row>
    <row r="6" spans="1:6" x14ac:dyDescent="0.25">
      <c r="A6" s="10" t="s">
        <v>30</v>
      </c>
      <c r="B6" s="5" t="s">
        <v>6</v>
      </c>
      <c r="C6" s="5" t="s">
        <v>31</v>
      </c>
      <c r="D6" s="5" t="s">
        <v>32</v>
      </c>
      <c r="E6" s="5" t="s">
        <v>33</v>
      </c>
      <c r="F6" s="5" t="s">
        <v>34</v>
      </c>
    </row>
    <row r="7" spans="1:6" ht="105" customHeight="1" x14ac:dyDescent="0.25">
      <c r="A7" s="8">
        <v>4.01</v>
      </c>
      <c r="B7" s="13" t="s">
        <v>59</v>
      </c>
      <c r="C7" s="13" t="s">
        <v>60</v>
      </c>
      <c r="D7" s="13">
        <v>5</v>
      </c>
      <c r="E7" s="13">
        <v>1060000</v>
      </c>
      <c r="F7" s="13">
        <f>D7*E7</f>
        <v>5300000</v>
      </c>
    </row>
    <row r="8" spans="1:6" ht="30" customHeight="1" x14ac:dyDescent="0.25">
      <c r="A8" s="8">
        <v>4.0199999999999996</v>
      </c>
      <c r="B8" s="13" t="s">
        <v>61</v>
      </c>
      <c r="C8" s="13" t="s">
        <v>62</v>
      </c>
      <c r="D8" s="19">
        <v>8400</v>
      </c>
      <c r="E8" s="13">
        <v>350</v>
      </c>
      <c r="F8" s="13">
        <f>D8*E8</f>
        <v>2940000</v>
      </c>
    </row>
    <row r="9" spans="1:6" ht="30" customHeight="1" x14ac:dyDescent="0.25">
      <c r="A9" s="8">
        <v>4.03</v>
      </c>
      <c r="B9" s="13" t="s">
        <v>63</v>
      </c>
      <c r="C9" s="13" t="s">
        <v>62</v>
      </c>
      <c r="D9" s="13">
        <v>10</v>
      </c>
      <c r="E9" s="13">
        <v>1305</v>
      </c>
      <c r="F9" s="13">
        <f>D9*E9</f>
        <v>13050</v>
      </c>
    </row>
    <row r="10" spans="1:6" ht="60" customHeight="1" x14ac:dyDescent="0.25">
      <c r="A10" s="8">
        <v>4.04</v>
      </c>
      <c r="B10" s="13" t="s">
        <v>64</v>
      </c>
      <c r="C10" s="13" t="s">
        <v>65</v>
      </c>
      <c r="D10" s="13">
        <v>500</v>
      </c>
      <c r="E10" s="13">
        <v>180</v>
      </c>
      <c r="F10" s="13">
        <f>D10*E10</f>
        <v>90000</v>
      </c>
    </row>
    <row r="11" spans="1:6" ht="30" customHeight="1" x14ac:dyDescent="0.25">
      <c r="A11" s="8">
        <v>4.05</v>
      </c>
      <c r="B11" s="13" t="s">
        <v>66</v>
      </c>
      <c r="C11" s="13" t="s">
        <v>65</v>
      </c>
      <c r="D11" s="13">
        <v>100</v>
      </c>
      <c r="E11" s="13">
        <v>2800</v>
      </c>
      <c r="F11" s="13">
        <f>D11*E11</f>
        <v>280000</v>
      </c>
    </row>
    <row r="12" spans="1:6" x14ac:dyDescent="0.25">
      <c r="A12" s="6"/>
      <c r="B12" s="7"/>
      <c r="C12" s="7"/>
      <c r="D12" s="7"/>
      <c r="E12" s="7"/>
      <c r="F12" s="7"/>
    </row>
    <row r="13" spans="1:6" x14ac:dyDescent="0.25">
      <c r="A13" s="6"/>
      <c r="B13" s="7" t="s">
        <v>27</v>
      </c>
      <c r="C13" s="7"/>
      <c r="D13" s="7"/>
      <c r="E13" s="7"/>
      <c r="F13" s="7">
        <f>SUM(F7:F11)</f>
        <v>8623050</v>
      </c>
    </row>
  </sheetData>
  <mergeCells count="3">
    <mergeCell ref="A3:F3"/>
    <mergeCell ref="A2:F2"/>
    <mergeCell ref="A1:F1"/>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workbookViewId="0"/>
  </sheetViews>
  <sheetFormatPr defaultRowHeight="15" x14ac:dyDescent="0.25"/>
  <cols>
    <col min="1" max="1" width="19.42578125" customWidth="1"/>
    <col min="2" max="2" width="28.28515625" customWidth="1"/>
    <col min="3" max="3" width="15.85546875" customWidth="1"/>
    <col min="4" max="4" width="14.7109375" customWidth="1"/>
    <col min="5" max="5" width="13.85546875" customWidth="1"/>
    <col min="6" max="6" width="13.28515625" customWidth="1"/>
  </cols>
  <sheetData>
    <row r="1" spans="1:6" x14ac:dyDescent="0.25">
      <c r="A1" s="39" t="s">
        <v>0</v>
      </c>
      <c r="B1" s="40"/>
      <c r="C1" s="40"/>
      <c r="D1" s="40"/>
      <c r="E1" s="40"/>
      <c r="F1" s="41"/>
    </row>
    <row r="2" spans="1:6" x14ac:dyDescent="0.25">
      <c r="A2" s="45" t="s">
        <v>1</v>
      </c>
      <c r="B2" s="46"/>
      <c r="C2" s="46"/>
      <c r="D2" s="46"/>
      <c r="E2" s="46"/>
      <c r="F2" s="47"/>
    </row>
    <row r="3" spans="1:6" x14ac:dyDescent="0.25">
      <c r="A3" s="42" t="s">
        <v>2</v>
      </c>
      <c r="B3" s="43"/>
      <c r="C3" s="43"/>
      <c r="D3" s="43"/>
      <c r="E3" s="43"/>
      <c r="F3" s="44"/>
    </row>
    <row r="4" spans="1:6" x14ac:dyDescent="0.25">
      <c r="A4" s="10" t="s">
        <v>3</v>
      </c>
      <c r="B4" s="5"/>
      <c r="C4" s="5"/>
      <c r="D4" s="7"/>
      <c r="E4" s="7"/>
      <c r="F4" s="7"/>
    </row>
    <row r="5" spans="1:6" ht="18" customHeight="1" x14ac:dyDescent="0.25">
      <c r="A5" s="11" t="s">
        <v>67</v>
      </c>
      <c r="B5" s="12" t="s">
        <v>10</v>
      </c>
      <c r="C5" s="5"/>
      <c r="D5" s="7"/>
      <c r="E5" s="7"/>
      <c r="F5" s="7"/>
    </row>
    <row r="6" spans="1:6" x14ac:dyDescent="0.25">
      <c r="A6" s="10" t="s">
        <v>30</v>
      </c>
      <c r="B6" s="5" t="s">
        <v>6</v>
      </c>
      <c r="C6" s="5" t="s">
        <v>31</v>
      </c>
      <c r="D6" s="5" t="s">
        <v>32</v>
      </c>
      <c r="E6" s="5" t="s">
        <v>33</v>
      </c>
      <c r="F6" s="5" t="s">
        <v>34</v>
      </c>
    </row>
    <row r="7" spans="1:6" ht="60" customHeight="1" x14ac:dyDescent="0.25">
      <c r="A7" s="8">
        <v>5.01</v>
      </c>
      <c r="B7" s="13" t="s">
        <v>68</v>
      </c>
      <c r="C7" s="13" t="s">
        <v>62</v>
      </c>
      <c r="D7" s="14">
        <v>21000</v>
      </c>
      <c r="E7" s="13">
        <v>1412</v>
      </c>
      <c r="F7" s="13">
        <f t="shared" ref="F7:F12" si="0">D7*E7</f>
        <v>29652000</v>
      </c>
    </row>
    <row r="8" spans="1:6" ht="45" customHeight="1" x14ac:dyDescent="0.25">
      <c r="A8" s="8">
        <v>5.0199999999999996</v>
      </c>
      <c r="B8" s="13" t="s">
        <v>69</v>
      </c>
      <c r="C8" s="13" t="s">
        <v>62</v>
      </c>
      <c r="D8" s="14">
        <v>12600</v>
      </c>
      <c r="E8" s="13">
        <v>550</v>
      </c>
      <c r="F8" s="13">
        <f t="shared" si="0"/>
        <v>6930000</v>
      </c>
    </row>
    <row r="9" spans="1:6" x14ac:dyDescent="0.25">
      <c r="A9" s="8">
        <v>5.03</v>
      </c>
      <c r="B9" s="13" t="s">
        <v>70</v>
      </c>
      <c r="C9" s="13" t="s">
        <v>62</v>
      </c>
      <c r="D9" s="14">
        <v>21000</v>
      </c>
      <c r="E9" s="13">
        <v>296</v>
      </c>
      <c r="F9" s="13">
        <f t="shared" si="0"/>
        <v>6216000</v>
      </c>
    </row>
    <row r="10" spans="1:6" ht="51" customHeight="1" x14ac:dyDescent="0.25">
      <c r="A10" s="8">
        <v>5.04</v>
      </c>
      <c r="B10" s="15" t="s">
        <v>71</v>
      </c>
      <c r="C10" s="13" t="s">
        <v>62</v>
      </c>
      <c r="D10" s="14">
        <v>21000</v>
      </c>
      <c r="E10" s="13">
        <v>4180</v>
      </c>
      <c r="F10" s="13">
        <f t="shared" si="0"/>
        <v>87780000</v>
      </c>
    </row>
    <row r="11" spans="1:6" ht="30" customHeight="1" x14ac:dyDescent="0.25">
      <c r="A11" s="8">
        <v>5.05</v>
      </c>
      <c r="B11" s="13" t="s">
        <v>72</v>
      </c>
      <c r="C11" s="13" t="s">
        <v>62</v>
      </c>
      <c r="D11" s="14">
        <v>42000</v>
      </c>
      <c r="E11" s="13">
        <v>1500</v>
      </c>
      <c r="F11" s="13">
        <f t="shared" si="0"/>
        <v>63000000</v>
      </c>
    </row>
    <row r="12" spans="1:6" x14ac:dyDescent="0.25">
      <c r="A12" s="8">
        <v>5.0599999999999996</v>
      </c>
      <c r="B12" s="13" t="s">
        <v>73</v>
      </c>
      <c r="C12" s="13" t="s">
        <v>74</v>
      </c>
      <c r="D12" s="14">
        <v>42000</v>
      </c>
      <c r="E12" s="13">
        <v>520</v>
      </c>
      <c r="F12" s="13">
        <f t="shared" si="0"/>
        <v>21840000</v>
      </c>
    </row>
    <row r="13" spans="1:6" x14ac:dyDescent="0.25">
      <c r="A13" s="6"/>
      <c r="B13" s="7"/>
      <c r="C13" s="7"/>
      <c r="D13" s="7"/>
      <c r="E13" s="7"/>
      <c r="F13" s="7"/>
    </row>
    <row r="14" spans="1:6" x14ac:dyDescent="0.25">
      <c r="A14" s="6"/>
      <c r="B14" s="7" t="s">
        <v>27</v>
      </c>
      <c r="C14" s="7"/>
      <c r="D14" s="7"/>
      <c r="E14" s="7"/>
      <c r="F14" s="7">
        <f>SUM(F7:F12)</f>
        <v>215418000</v>
      </c>
    </row>
  </sheetData>
  <mergeCells count="3">
    <mergeCell ref="A3:F3"/>
    <mergeCell ref="A2:F2"/>
    <mergeCell ref="A1:F1"/>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workbookViewId="0">
      <selection sqref="A1:F1"/>
    </sheetView>
  </sheetViews>
  <sheetFormatPr defaultRowHeight="15" x14ac:dyDescent="0.25"/>
  <cols>
    <col min="1" max="1" width="21.5703125" customWidth="1"/>
    <col min="2" max="2" width="31.7109375" customWidth="1"/>
    <col min="3" max="3" width="11.5703125" customWidth="1"/>
    <col min="4" max="4" width="11" customWidth="1"/>
    <col min="5" max="5" width="11.5703125" customWidth="1"/>
    <col min="6" max="6" width="13.28515625" customWidth="1"/>
  </cols>
  <sheetData>
    <row r="1" spans="1:6" x14ac:dyDescent="0.25">
      <c r="A1" s="45" t="s">
        <v>0</v>
      </c>
      <c r="B1" s="46"/>
      <c r="C1" s="46"/>
      <c r="D1" s="46"/>
      <c r="E1" s="46"/>
      <c r="F1" s="47"/>
    </row>
    <row r="2" spans="1:6" x14ac:dyDescent="0.25">
      <c r="A2" s="45" t="s">
        <v>1</v>
      </c>
      <c r="B2" s="46"/>
      <c r="C2" s="46"/>
      <c r="D2" s="46"/>
      <c r="E2" s="46"/>
      <c r="F2" s="47"/>
    </row>
    <row r="3" spans="1:6" x14ac:dyDescent="0.25">
      <c r="A3" s="42" t="s">
        <v>2</v>
      </c>
      <c r="B3" s="43"/>
      <c r="C3" s="43"/>
      <c r="D3" s="43"/>
      <c r="E3" s="43"/>
      <c r="F3" s="44"/>
    </row>
    <row r="4" spans="1:6" x14ac:dyDescent="0.25">
      <c r="A4" s="10" t="s">
        <v>3</v>
      </c>
      <c r="B4" s="5"/>
      <c r="C4" s="5"/>
      <c r="D4" s="7"/>
      <c r="E4" s="7"/>
      <c r="F4" s="7"/>
    </row>
    <row r="5" spans="1:6" ht="30" customHeight="1" x14ac:dyDescent="0.25">
      <c r="A5" s="11" t="s">
        <v>75</v>
      </c>
      <c r="B5" s="12" t="s">
        <v>11</v>
      </c>
      <c r="C5" s="5"/>
      <c r="D5" s="7"/>
      <c r="E5" s="7"/>
      <c r="F5" s="7"/>
    </row>
    <row r="6" spans="1:6" x14ac:dyDescent="0.25">
      <c r="A6" s="10" t="s">
        <v>30</v>
      </c>
      <c r="B6" s="5" t="s">
        <v>6</v>
      </c>
      <c r="C6" s="5" t="s">
        <v>31</v>
      </c>
      <c r="D6" s="5" t="s">
        <v>32</v>
      </c>
      <c r="E6" s="5" t="s">
        <v>33</v>
      </c>
      <c r="F6" s="5" t="s">
        <v>34</v>
      </c>
    </row>
    <row r="7" spans="1:6" ht="30" customHeight="1" x14ac:dyDescent="0.25">
      <c r="A7" s="8">
        <v>7.01</v>
      </c>
      <c r="B7" s="13" t="s">
        <v>76</v>
      </c>
      <c r="C7" s="13" t="s">
        <v>62</v>
      </c>
      <c r="D7" s="14">
        <v>2200</v>
      </c>
      <c r="E7" s="13">
        <v>296</v>
      </c>
      <c r="F7" s="13">
        <f>D7*E7</f>
        <v>651200</v>
      </c>
    </row>
    <row r="8" spans="1:6" ht="30" customHeight="1" x14ac:dyDescent="0.25">
      <c r="A8" s="8">
        <v>7.02</v>
      </c>
      <c r="B8" s="13" t="s">
        <v>77</v>
      </c>
      <c r="C8" s="13" t="s">
        <v>62</v>
      </c>
      <c r="D8" s="14">
        <v>1100</v>
      </c>
      <c r="E8" s="13">
        <v>295</v>
      </c>
      <c r="F8" s="13">
        <f>D8*E8</f>
        <v>324500</v>
      </c>
    </row>
    <row r="9" spans="1:6" ht="60" customHeight="1" x14ac:dyDescent="0.25">
      <c r="A9" s="8">
        <v>7.03</v>
      </c>
      <c r="B9" s="13" t="s">
        <v>78</v>
      </c>
      <c r="C9" s="13" t="s">
        <v>74</v>
      </c>
      <c r="D9" s="14">
        <v>8600</v>
      </c>
      <c r="E9" s="13">
        <v>574</v>
      </c>
      <c r="F9" s="13">
        <f>D9*E9</f>
        <v>4936400</v>
      </c>
    </row>
    <row r="10" spans="1:6" ht="30" customHeight="1" x14ac:dyDescent="0.25">
      <c r="A10" s="8">
        <v>7.04</v>
      </c>
      <c r="B10" s="13" t="s">
        <v>79</v>
      </c>
      <c r="C10" s="13" t="s">
        <v>62</v>
      </c>
      <c r="D10" s="14">
        <v>1600</v>
      </c>
      <c r="E10" s="13">
        <v>7766</v>
      </c>
      <c r="F10" s="13">
        <f>D10*E10</f>
        <v>12425600</v>
      </c>
    </row>
    <row r="11" spans="1:6" ht="45" customHeight="1" x14ac:dyDescent="0.25">
      <c r="A11" s="8">
        <v>7.05</v>
      </c>
      <c r="B11" s="13" t="s">
        <v>80</v>
      </c>
      <c r="C11" s="13" t="s">
        <v>74</v>
      </c>
      <c r="D11" s="14">
        <v>2100</v>
      </c>
      <c r="E11" s="13">
        <v>380</v>
      </c>
      <c r="F11" s="13">
        <f>D11*E11</f>
        <v>798000</v>
      </c>
    </row>
    <row r="12" spans="1:6" x14ac:dyDescent="0.25">
      <c r="A12" s="6"/>
      <c r="B12" s="7"/>
      <c r="C12" s="7"/>
      <c r="D12" s="7"/>
      <c r="E12" s="7"/>
      <c r="F12" s="7"/>
    </row>
    <row r="13" spans="1:6" x14ac:dyDescent="0.25">
      <c r="A13" s="6"/>
      <c r="B13" s="7" t="s">
        <v>27</v>
      </c>
      <c r="C13" s="7"/>
      <c r="D13" s="7"/>
      <c r="E13" s="7"/>
      <c r="F13" s="7">
        <f>SUM(F7:F11)</f>
        <v>19135700</v>
      </c>
    </row>
  </sheetData>
  <mergeCells count="3">
    <mergeCell ref="A3:F3"/>
    <mergeCell ref="A2:F2"/>
    <mergeCell ref="A1:F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8"/>
  <sheetViews>
    <sheetView workbookViewId="0">
      <selection sqref="A1:F1"/>
    </sheetView>
  </sheetViews>
  <sheetFormatPr defaultRowHeight="15" x14ac:dyDescent="0.25"/>
  <cols>
    <col min="1" max="1" width="25.42578125" customWidth="1"/>
    <col min="2" max="2" width="31.42578125" customWidth="1"/>
    <col min="3" max="3" width="12" customWidth="1"/>
    <col min="4" max="4" width="11.42578125" customWidth="1"/>
    <col min="5" max="5" width="11.28515625" customWidth="1"/>
    <col min="6" max="6" width="13.28515625" customWidth="1"/>
  </cols>
  <sheetData>
    <row r="1" spans="1:6" x14ac:dyDescent="0.25">
      <c r="A1" s="39" t="s">
        <v>0</v>
      </c>
      <c r="B1" s="40"/>
      <c r="C1" s="40"/>
      <c r="D1" s="40"/>
      <c r="E1" s="40"/>
      <c r="F1" s="41"/>
    </row>
    <row r="2" spans="1:6" x14ac:dyDescent="0.25">
      <c r="A2" s="45" t="s">
        <v>1</v>
      </c>
      <c r="B2" s="46"/>
      <c r="C2" s="46"/>
      <c r="D2" s="46"/>
      <c r="E2" s="46"/>
      <c r="F2" s="47"/>
    </row>
    <row r="3" spans="1:6" x14ac:dyDescent="0.25">
      <c r="A3" s="42" t="s">
        <v>2</v>
      </c>
      <c r="B3" s="43"/>
      <c r="C3" s="43"/>
      <c r="D3" s="43"/>
      <c r="E3" s="43"/>
      <c r="F3" s="44"/>
    </row>
    <row r="4" spans="1:6" x14ac:dyDescent="0.25">
      <c r="A4" s="10" t="s">
        <v>3</v>
      </c>
      <c r="B4" s="5"/>
      <c r="C4" s="5"/>
      <c r="D4" s="7"/>
      <c r="E4" s="7"/>
      <c r="F4" s="7"/>
    </row>
    <row r="5" spans="1:6" ht="31.5" customHeight="1" x14ac:dyDescent="0.25">
      <c r="A5" s="11" t="s">
        <v>81</v>
      </c>
      <c r="B5" s="12" t="s">
        <v>82</v>
      </c>
      <c r="C5" s="5"/>
      <c r="D5" s="7"/>
      <c r="E5" s="7"/>
      <c r="F5" s="7"/>
    </row>
    <row r="6" spans="1:6" x14ac:dyDescent="0.25">
      <c r="A6" s="10" t="s">
        <v>30</v>
      </c>
      <c r="B6" s="5" t="s">
        <v>6</v>
      </c>
      <c r="C6" s="5" t="s">
        <v>31</v>
      </c>
      <c r="D6" s="5" t="s">
        <v>32</v>
      </c>
      <c r="E6" s="5" t="s">
        <v>33</v>
      </c>
      <c r="F6" s="5" t="s">
        <v>34</v>
      </c>
    </row>
    <row r="7" spans="1:6" ht="30" customHeight="1" x14ac:dyDescent="0.25">
      <c r="A7" s="8">
        <v>10.01</v>
      </c>
      <c r="B7" s="13" t="s">
        <v>83</v>
      </c>
      <c r="C7" s="13" t="s">
        <v>62</v>
      </c>
      <c r="D7" s="14">
        <v>1700</v>
      </c>
      <c r="E7" s="13">
        <v>2959</v>
      </c>
      <c r="F7" s="13">
        <f>D7*E7</f>
        <v>5030300</v>
      </c>
    </row>
    <row r="8" spans="1:6" x14ac:dyDescent="0.25">
      <c r="A8" s="6"/>
      <c r="B8" s="7"/>
      <c r="C8" s="7"/>
      <c r="D8" s="7"/>
      <c r="E8" s="7"/>
      <c r="F8" s="7"/>
    </row>
    <row r="9" spans="1:6" x14ac:dyDescent="0.25">
      <c r="A9" s="6"/>
      <c r="B9" s="7" t="s">
        <v>27</v>
      </c>
      <c r="C9" s="7"/>
      <c r="D9" s="7"/>
      <c r="E9" s="7"/>
      <c r="F9" s="7">
        <f>SUM(F7:F7)</f>
        <v>5030300</v>
      </c>
    </row>
    <row r="11" spans="1:6" x14ac:dyDescent="0.25">
      <c r="A11" s="11" t="s">
        <v>84</v>
      </c>
      <c r="B11" s="12" t="s">
        <v>85</v>
      </c>
      <c r="C11" s="5"/>
      <c r="D11" s="7"/>
      <c r="E11" s="7"/>
      <c r="F11" s="7"/>
    </row>
    <row r="12" spans="1:6" x14ac:dyDescent="0.25">
      <c r="A12" s="10" t="s">
        <v>30</v>
      </c>
      <c r="B12" s="5" t="s">
        <v>6</v>
      </c>
      <c r="C12" s="5" t="s">
        <v>31</v>
      </c>
      <c r="D12" s="5" t="s">
        <v>32</v>
      </c>
      <c r="E12" s="5" t="s">
        <v>33</v>
      </c>
      <c r="F12" s="5" t="s">
        <v>34</v>
      </c>
    </row>
    <row r="13" spans="1:6" ht="90" customHeight="1" x14ac:dyDescent="0.25">
      <c r="A13" s="8">
        <v>20.010000000000002</v>
      </c>
      <c r="B13" s="15" t="s">
        <v>86</v>
      </c>
      <c r="C13" s="13" t="s">
        <v>62</v>
      </c>
      <c r="D13" s="16">
        <v>200</v>
      </c>
      <c r="E13" s="13">
        <v>450</v>
      </c>
      <c r="F13" s="13">
        <f t="shared" ref="F13:F26" si="0">D13*E13</f>
        <v>90000</v>
      </c>
    </row>
    <row r="14" spans="1:6" ht="30" customHeight="1" x14ac:dyDescent="0.25">
      <c r="A14" s="8">
        <v>20.02</v>
      </c>
      <c r="B14" s="13" t="s">
        <v>87</v>
      </c>
      <c r="C14" s="13" t="s">
        <v>62</v>
      </c>
      <c r="D14" s="16">
        <v>100</v>
      </c>
      <c r="E14" s="13">
        <v>450</v>
      </c>
      <c r="F14" s="13">
        <f t="shared" si="0"/>
        <v>45000</v>
      </c>
    </row>
    <row r="15" spans="1:6" ht="30" customHeight="1" x14ac:dyDescent="0.25">
      <c r="A15" s="8">
        <v>20.03</v>
      </c>
      <c r="B15" s="13" t="s">
        <v>88</v>
      </c>
      <c r="C15" s="13" t="s">
        <v>62</v>
      </c>
      <c r="D15" s="16">
        <v>200</v>
      </c>
      <c r="E15" s="13">
        <v>12000</v>
      </c>
      <c r="F15" s="13">
        <f t="shared" si="0"/>
        <v>2400000</v>
      </c>
    </row>
    <row r="16" spans="1:6" ht="30" customHeight="1" x14ac:dyDescent="0.25">
      <c r="A16" s="8">
        <v>20.04</v>
      </c>
      <c r="B16" s="13" t="s">
        <v>87</v>
      </c>
      <c r="C16" s="13" t="s">
        <v>62</v>
      </c>
      <c r="D16" s="16">
        <v>100</v>
      </c>
      <c r="E16" s="13">
        <v>12000</v>
      </c>
      <c r="F16" s="13">
        <f t="shared" si="0"/>
        <v>1200000</v>
      </c>
    </row>
    <row r="17" spans="1:6" ht="180" customHeight="1" x14ac:dyDescent="0.25">
      <c r="A17" s="8">
        <v>20.05</v>
      </c>
      <c r="B17" s="15" t="s">
        <v>89</v>
      </c>
      <c r="C17" s="13" t="s">
        <v>52</v>
      </c>
      <c r="D17" s="16">
        <v>190</v>
      </c>
      <c r="E17" s="13">
        <v>5500</v>
      </c>
      <c r="F17" s="13">
        <f t="shared" si="0"/>
        <v>1045000</v>
      </c>
    </row>
    <row r="18" spans="1:6" ht="90" customHeight="1" x14ac:dyDescent="0.25">
      <c r="A18" s="8">
        <v>20.059999999999999</v>
      </c>
      <c r="B18" s="15" t="s">
        <v>90</v>
      </c>
      <c r="C18" s="13" t="s">
        <v>52</v>
      </c>
      <c r="D18" s="16">
        <v>40</v>
      </c>
      <c r="E18" s="13">
        <v>6000</v>
      </c>
      <c r="F18" s="13">
        <f t="shared" si="0"/>
        <v>240000</v>
      </c>
    </row>
    <row r="19" spans="1:6" ht="75" customHeight="1" x14ac:dyDescent="0.25">
      <c r="A19" s="8">
        <v>20.07</v>
      </c>
      <c r="B19" s="15" t="s">
        <v>91</v>
      </c>
      <c r="C19" s="13" t="s">
        <v>52</v>
      </c>
      <c r="D19" s="16">
        <v>70</v>
      </c>
      <c r="E19" s="13">
        <v>2500</v>
      </c>
      <c r="F19" s="13">
        <f t="shared" si="0"/>
        <v>175000</v>
      </c>
    </row>
    <row r="20" spans="1:6" ht="105" customHeight="1" x14ac:dyDescent="0.25">
      <c r="A20" s="8">
        <v>20.079999999999998</v>
      </c>
      <c r="B20" s="15" t="s">
        <v>92</v>
      </c>
      <c r="C20" s="13" t="s">
        <v>93</v>
      </c>
      <c r="D20" s="16">
        <v>550</v>
      </c>
      <c r="E20" s="13">
        <v>3500</v>
      </c>
      <c r="F20" s="13">
        <f t="shared" si="0"/>
        <v>1925000</v>
      </c>
    </row>
    <row r="21" spans="1:6" ht="60" customHeight="1" x14ac:dyDescent="0.25">
      <c r="A21" s="8">
        <v>20.09</v>
      </c>
      <c r="B21" s="15" t="s">
        <v>94</v>
      </c>
      <c r="C21" s="13" t="s">
        <v>93</v>
      </c>
      <c r="D21" s="14">
        <v>1700</v>
      </c>
      <c r="E21" s="13">
        <v>55</v>
      </c>
      <c r="F21" s="13">
        <f t="shared" si="0"/>
        <v>93500</v>
      </c>
    </row>
    <row r="22" spans="1:6" ht="60" customHeight="1" x14ac:dyDescent="0.25">
      <c r="A22" s="8">
        <v>20.100000000000001</v>
      </c>
      <c r="B22" s="15" t="s">
        <v>95</v>
      </c>
      <c r="C22" s="13" t="s">
        <v>93</v>
      </c>
      <c r="D22" s="14">
        <v>2200</v>
      </c>
      <c r="E22" s="13">
        <v>80</v>
      </c>
      <c r="F22" s="13">
        <f t="shared" si="0"/>
        <v>176000</v>
      </c>
    </row>
    <row r="23" spans="1:6" ht="30" customHeight="1" x14ac:dyDescent="0.25">
      <c r="A23" s="8">
        <v>20.11</v>
      </c>
      <c r="B23" s="15" t="s">
        <v>96</v>
      </c>
      <c r="C23" s="13" t="s">
        <v>62</v>
      </c>
      <c r="D23" s="16">
        <v>60</v>
      </c>
      <c r="E23" s="13">
        <v>350</v>
      </c>
      <c r="F23" s="13">
        <f t="shared" si="0"/>
        <v>21000</v>
      </c>
    </row>
    <row r="24" spans="1:6" ht="30" customHeight="1" x14ac:dyDescent="0.25">
      <c r="A24" s="8">
        <v>20.12</v>
      </c>
      <c r="B24" s="15" t="s">
        <v>97</v>
      </c>
      <c r="C24" s="13" t="s">
        <v>62</v>
      </c>
      <c r="D24" s="16">
        <v>60</v>
      </c>
      <c r="E24" s="13">
        <v>12000</v>
      </c>
      <c r="F24" s="13">
        <f t="shared" si="0"/>
        <v>720000</v>
      </c>
    </row>
    <row r="25" spans="1:6" ht="60" customHeight="1" x14ac:dyDescent="0.25">
      <c r="A25" s="8">
        <v>20.13</v>
      </c>
      <c r="B25" s="15" t="s">
        <v>98</v>
      </c>
      <c r="C25" s="13" t="s">
        <v>99</v>
      </c>
      <c r="D25" s="16">
        <v>10</v>
      </c>
      <c r="E25" s="13">
        <v>420000</v>
      </c>
      <c r="F25" s="13">
        <f t="shared" si="0"/>
        <v>4200000</v>
      </c>
    </row>
    <row r="26" spans="1:6" ht="105" customHeight="1" x14ac:dyDescent="0.25">
      <c r="A26" s="8">
        <v>20.14</v>
      </c>
      <c r="B26" s="15" t="s">
        <v>100</v>
      </c>
      <c r="C26" s="13" t="s">
        <v>93</v>
      </c>
      <c r="D26" s="16">
        <v>550</v>
      </c>
      <c r="E26" s="17">
        <v>550</v>
      </c>
      <c r="F26" s="7">
        <f t="shared" si="0"/>
        <v>302500</v>
      </c>
    </row>
    <row r="27" spans="1:6" x14ac:dyDescent="0.25">
      <c r="A27" s="6"/>
      <c r="B27" s="7"/>
      <c r="C27" s="7"/>
      <c r="D27" s="7"/>
      <c r="E27" s="7"/>
      <c r="F27" s="7"/>
    </row>
    <row r="28" spans="1:6" x14ac:dyDescent="0.25">
      <c r="A28" s="6"/>
      <c r="B28" s="7" t="s">
        <v>27</v>
      </c>
      <c r="C28" s="7"/>
      <c r="D28" s="7"/>
      <c r="E28" s="7"/>
      <c r="F28" s="7">
        <f>SUM(F13:F26)</f>
        <v>12633000</v>
      </c>
    </row>
  </sheetData>
  <mergeCells count="3">
    <mergeCell ref="A3:F3"/>
    <mergeCell ref="A2:F2"/>
    <mergeCell ref="A1:F1"/>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3"/>
  <sheetViews>
    <sheetView topLeftCell="A78" workbookViewId="0">
      <selection activeCell="E19" sqref="E19"/>
    </sheetView>
  </sheetViews>
  <sheetFormatPr defaultRowHeight="15" x14ac:dyDescent="0.25"/>
  <cols>
    <col min="1" max="1" width="26.140625" customWidth="1"/>
    <col min="2" max="2" width="26.7109375" customWidth="1"/>
    <col min="3" max="3" width="11.7109375" customWidth="1"/>
    <col min="4" max="4" width="11.85546875" customWidth="1"/>
    <col min="5" max="5" width="11.28515625" customWidth="1"/>
    <col min="6" max="6" width="13.28515625" customWidth="1"/>
  </cols>
  <sheetData>
    <row r="1" spans="1:6" x14ac:dyDescent="0.25">
      <c r="A1" s="39" t="s">
        <v>0</v>
      </c>
      <c r="B1" s="40"/>
      <c r="C1" s="40"/>
      <c r="D1" s="40"/>
      <c r="E1" s="40"/>
      <c r="F1" s="41"/>
    </row>
    <row r="2" spans="1:6" x14ac:dyDescent="0.25">
      <c r="A2" s="45" t="s">
        <v>1</v>
      </c>
      <c r="B2" s="46"/>
      <c r="C2" s="46"/>
      <c r="D2" s="46"/>
      <c r="E2" s="46"/>
      <c r="F2" s="47"/>
    </row>
    <row r="3" spans="1:6" x14ac:dyDescent="0.25">
      <c r="A3" s="42" t="s">
        <v>2</v>
      </c>
      <c r="B3" s="43"/>
      <c r="C3" s="43"/>
      <c r="D3" s="43"/>
      <c r="E3" s="43"/>
      <c r="F3" s="44"/>
    </row>
    <row r="4" spans="1:6" x14ac:dyDescent="0.25">
      <c r="A4" s="10" t="s">
        <v>3</v>
      </c>
      <c r="B4" s="5"/>
      <c r="C4" s="5"/>
      <c r="D4" s="7"/>
      <c r="E4" s="7"/>
      <c r="F4" s="7"/>
    </row>
    <row r="5" spans="1:6" ht="43.5" customHeight="1" x14ac:dyDescent="0.25">
      <c r="A5" s="11" t="s">
        <v>101</v>
      </c>
      <c r="B5" s="12" t="s">
        <v>14</v>
      </c>
      <c r="C5" s="5"/>
      <c r="D5" s="7"/>
      <c r="E5" s="7"/>
      <c r="F5" s="7"/>
    </row>
    <row r="6" spans="1:6" x14ac:dyDescent="0.25">
      <c r="A6" s="10" t="s">
        <v>30</v>
      </c>
      <c r="B6" s="5" t="s">
        <v>6</v>
      </c>
      <c r="C6" s="5" t="s">
        <v>31</v>
      </c>
      <c r="D6" s="5" t="s">
        <v>32</v>
      </c>
      <c r="E6" s="5" t="s">
        <v>33</v>
      </c>
      <c r="F6" s="5" t="s">
        <v>34</v>
      </c>
    </row>
    <row r="7" spans="1:6" ht="15.75" customHeight="1" x14ac:dyDescent="0.25">
      <c r="A7" s="7"/>
      <c r="B7" s="27" t="s">
        <v>102</v>
      </c>
      <c r="C7" s="28"/>
      <c r="D7" s="28"/>
      <c r="E7" s="7"/>
      <c r="F7" s="7"/>
    </row>
    <row r="8" spans="1:6" ht="47.25" customHeight="1" x14ac:dyDescent="0.25">
      <c r="A8" s="7"/>
      <c r="B8" s="29" t="s">
        <v>103</v>
      </c>
      <c r="C8" s="28"/>
      <c r="D8" s="28"/>
      <c r="E8" s="7"/>
      <c r="F8" s="7"/>
    </row>
    <row r="9" spans="1:6" ht="31.5" customHeight="1" x14ac:dyDescent="0.25">
      <c r="A9" s="20"/>
      <c r="B9" s="30" t="s">
        <v>104</v>
      </c>
      <c r="C9" s="31" t="s">
        <v>105</v>
      </c>
      <c r="D9" s="28">
        <v>10</v>
      </c>
      <c r="E9" s="7">
        <v>7440</v>
      </c>
      <c r="F9" s="7">
        <f>D9*E9</f>
        <v>74400</v>
      </c>
    </row>
    <row r="10" spans="1:6" ht="31.5" customHeight="1" x14ac:dyDescent="0.25">
      <c r="A10" s="20"/>
      <c r="B10" s="30" t="s">
        <v>106</v>
      </c>
      <c r="C10" s="31" t="s">
        <v>105</v>
      </c>
      <c r="D10" s="28">
        <v>10</v>
      </c>
      <c r="E10" s="7">
        <v>8930</v>
      </c>
      <c r="F10" s="7">
        <f>D10*E10</f>
        <v>89300</v>
      </c>
    </row>
    <row r="11" spans="1:6" ht="31.5" customHeight="1" x14ac:dyDescent="0.25">
      <c r="A11" s="20"/>
      <c r="B11" s="30" t="s">
        <v>107</v>
      </c>
      <c r="C11" s="31" t="s">
        <v>105</v>
      </c>
      <c r="D11" s="28">
        <v>10</v>
      </c>
      <c r="E11" s="7">
        <v>11000</v>
      </c>
      <c r="F11" s="7">
        <f>D11*E11</f>
        <v>110000</v>
      </c>
    </row>
    <row r="12" spans="1:6" ht="31.5" customHeight="1" x14ac:dyDescent="0.25">
      <c r="A12" s="7"/>
      <c r="B12" s="29" t="s">
        <v>108</v>
      </c>
      <c r="C12" s="28"/>
      <c r="D12" s="28"/>
      <c r="E12" s="7"/>
      <c r="F12" s="7"/>
    </row>
    <row r="13" spans="1:6" ht="15.75" customHeight="1" x14ac:dyDescent="0.25">
      <c r="A13" s="20"/>
      <c r="B13" s="30" t="s">
        <v>109</v>
      </c>
      <c r="C13" s="31" t="s">
        <v>105</v>
      </c>
      <c r="D13" s="28">
        <v>10</v>
      </c>
      <c r="E13" s="7">
        <v>9000</v>
      </c>
      <c r="F13" s="7">
        <f>D13*E13</f>
        <v>90000</v>
      </c>
    </row>
    <row r="14" spans="1:6" ht="15.75" customHeight="1" x14ac:dyDescent="0.25">
      <c r="A14" s="20"/>
      <c r="B14" s="30" t="s">
        <v>110</v>
      </c>
      <c r="C14" s="31" t="s">
        <v>105</v>
      </c>
      <c r="D14" s="28">
        <v>10</v>
      </c>
      <c r="E14" s="7">
        <v>12000</v>
      </c>
      <c r="F14" s="7">
        <f>D14*E14</f>
        <v>120000</v>
      </c>
    </row>
    <row r="15" spans="1:6" ht="31.5" customHeight="1" x14ac:dyDescent="0.25">
      <c r="A15" s="7"/>
      <c r="B15" s="29" t="s">
        <v>111</v>
      </c>
      <c r="C15" s="28"/>
      <c r="D15" s="28"/>
      <c r="E15" s="7"/>
      <c r="F15" s="7"/>
    </row>
    <row r="16" spans="1:6" ht="15.75" customHeight="1" x14ac:dyDescent="0.25">
      <c r="A16" s="20"/>
      <c r="B16" s="30" t="s">
        <v>109</v>
      </c>
      <c r="C16" s="31" t="s">
        <v>105</v>
      </c>
      <c r="D16" s="28">
        <v>10</v>
      </c>
      <c r="E16" s="7">
        <v>12000</v>
      </c>
      <c r="F16" s="7">
        <f>D16*E16</f>
        <v>120000</v>
      </c>
    </row>
    <row r="17" spans="1:6" ht="15.75" customHeight="1" x14ac:dyDescent="0.25">
      <c r="A17" s="20"/>
      <c r="B17" s="30" t="s">
        <v>110</v>
      </c>
      <c r="C17" s="31" t="s">
        <v>105</v>
      </c>
      <c r="D17" s="28">
        <v>10</v>
      </c>
      <c r="E17" s="7">
        <v>15000</v>
      </c>
      <c r="F17" s="7">
        <f>D17*E17</f>
        <v>150000</v>
      </c>
    </row>
    <row r="18" spans="1:6" ht="31.5" customHeight="1" x14ac:dyDescent="0.25">
      <c r="A18" s="7"/>
      <c r="B18" s="29" t="s">
        <v>112</v>
      </c>
      <c r="C18" s="28"/>
      <c r="D18" s="28"/>
      <c r="E18" s="7"/>
      <c r="F18" s="7"/>
    </row>
    <row r="19" spans="1:6" ht="31.5" customHeight="1" x14ac:dyDescent="0.25">
      <c r="A19" s="7"/>
      <c r="B19" s="30" t="s">
        <v>113</v>
      </c>
      <c r="C19" s="31" t="s">
        <v>105</v>
      </c>
      <c r="D19" s="28">
        <v>10</v>
      </c>
      <c r="E19" s="7">
        <v>5600</v>
      </c>
      <c r="F19" s="7">
        <f>D19*E19</f>
        <v>56000</v>
      </c>
    </row>
    <row r="20" spans="1:6" ht="31.5" customHeight="1" x14ac:dyDescent="0.25">
      <c r="A20" s="7"/>
      <c r="B20" s="30" t="s">
        <v>114</v>
      </c>
      <c r="C20" s="31" t="s">
        <v>105</v>
      </c>
      <c r="D20" s="28">
        <v>10</v>
      </c>
      <c r="E20" s="7">
        <v>6000</v>
      </c>
      <c r="F20" s="7">
        <f>D20*E20</f>
        <v>60000</v>
      </c>
    </row>
    <row r="21" spans="1:6" ht="31.5" customHeight="1" x14ac:dyDescent="0.25">
      <c r="A21" s="7"/>
      <c r="B21" s="30" t="s">
        <v>115</v>
      </c>
      <c r="C21" s="31" t="s">
        <v>105</v>
      </c>
      <c r="D21" s="28">
        <v>10</v>
      </c>
      <c r="E21" s="7">
        <v>6500</v>
      </c>
      <c r="F21" s="7">
        <f>D21*E21</f>
        <v>65000</v>
      </c>
    </row>
    <row r="22" spans="1:6" ht="31.5" customHeight="1" x14ac:dyDescent="0.25">
      <c r="A22" s="7"/>
      <c r="B22" s="29" t="s">
        <v>116</v>
      </c>
      <c r="C22" s="28"/>
      <c r="D22" s="28"/>
      <c r="E22" s="7"/>
      <c r="F22" s="7"/>
    </row>
    <row r="23" spans="1:6" ht="15.75" customHeight="1" x14ac:dyDescent="0.25">
      <c r="A23" s="7"/>
      <c r="B23" s="30" t="s">
        <v>117</v>
      </c>
      <c r="C23" s="31" t="s">
        <v>105</v>
      </c>
      <c r="D23" s="28">
        <v>10</v>
      </c>
      <c r="E23" s="7">
        <v>3200</v>
      </c>
      <c r="F23" s="7">
        <f>D23*E23</f>
        <v>32000</v>
      </c>
    </row>
    <row r="24" spans="1:6" ht="15.75" customHeight="1" x14ac:dyDescent="0.25">
      <c r="A24" s="7"/>
      <c r="B24" s="30" t="s">
        <v>118</v>
      </c>
      <c r="C24" s="31" t="s">
        <v>105</v>
      </c>
      <c r="D24" s="28">
        <v>10</v>
      </c>
      <c r="E24" s="7">
        <v>4129</v>
      </c>
      <c r="F24" s="7">
        <f>D24*E24</f>
        <v>41290</v>
      </c>
    </row>
    <row r="25" spans="1:6" ht="31.5" customHeight="1" x14ac:dyDescent="0.25">
      <c r="A25" s="7"/>
      <c r="B25" s="29" t="s">
        <v>119</v>
      </c>
      <c r="C25" s="28"/>
      <c r="D25" s="28"/>
      <c r="E25" s="7"/>
      <c r="F25" s="7"/>
    </row>
    <row r="26" spans="1:6" ht="15.75" customHeight="1" x14ac:dyDescent="0.25">
      <c r="A26" s="7"/>
      <c r="B26" s="30" t="s">
        <v>120</v>
      </c>
      <c r="C26" s="31" t="s">
        <v>105</v>
      </c>
      <c r="D26" s="28">
        <v>10</v>
      </c>
      <c r="E26" s="7">
        <v>3000</v>
      </c>
      <c r="F26" s="7">
        <f>D26*E26</f>
        <v>30000</v>
      </c>
    </row>
    <row r="27" spans="1:6" ht="31.5" customHeight="1" x14ac:dyDescent="0.25">
      <c r="A27" s="7"/>
      <c r="B27" s="29" t="s">
        <v>121</v>
      </c>
      <c r="C27" s="28"/>
      <c r="D27" s="28"/>
      <c r="E27" s="7"/>
      <c r="F27" s="7"/>
    </row>
    <row r="28" spans="1:6" ht="15.75" customHeight="1" x14ac:dyDescent="0.25">
      <c r="A28" s="7"/>
      <c r="B28" s="30" t="s">
        <v>122</v>
      </c>
      <c r="C28" s="31" t="s">
        <v>105</v>
      </c>
      <c r="D28" s="28">
        <v>10</v>
      </c>
      <c r="E28" s="7">
        <v>3254</v>
      </c>
      <c r="F28" s="7">
        <f>D28*E28</f>
        <v>32540</v>
      </c>
    </row>
    <row r="29" spans="1:6" ht="31.5" customHeight="1" x14ac:dyDescent="0.25">
      <c r="A29" s="7"/>
      <c r="B29" s="29" t="s">
        <v>123</v>
      </c>
      <c r="C29" s="28"/>
      <c r="D29" s="28"/>
      <c r="E29" s="7"/>
      <c r="F29" s="7"/>
    </row>
    <row r="30" spans="1:6" ht="15.75" customHeight="1" x14ac:dyDescent="0.25">
      <c r="A30" s="7"/>
      <c r="B30" s="30" t="s">
        <v>124</v>
      </c>
      <c r="C30" s="31" t="s">
        <v>105</v>
      </c>
      <c r="D30" s="28">
        <v>10</v>
      </c>
      <c r="E30" s="7">
        <v>4129</v>
      </c>
      <c r="F30" s="7">
        <f>D30*E30</f>
        <v>41290</v>
      </c>
    </row>
    <row r="31" spans="1:6" ht="47.25" customHeight="1" x14ac:dyDescent="0.25">
      <c r="A31" s="7"/>
      <c r="B31" s="29" t="s">
        <v>125</v>
      </c>
      <c r="C31" s="28"/>
      <c r="D31" s="28"/>
      <c r="E31" s="7"/>
      <c r="F31" s="7"/>
    </row>
    <row r="32" spans="1:6" ht="31.5" customHeight="1" x14ac:dyDescent="0.25">
      <c r="A32" s="7"/>
      <c r="B32" s="30" t="s">
        <v>126</v>
      </c>
      <c r="C32" s="31" t="s">
        <v>105</v>
      </c>
      <c r="D32" s="28">
        <v>10</v>
      </c>
      <c r="E32" s="7">
        <v>1532</v>
      </c>
      <c r="F32" s="7">
        <f>D32*E32</f>
        <v>15320</v>
      </c>
    </row>
    <row r="33" spans="1:6" ht="15.75" customHeight="1" x14ac:dyDescent="0.25">
      <c r="A33" s="7"/>
      <c r="B33" s="29" t="s">
        <v>127</v>
      </c>
      <c r="C33" s="28"/>
      <c r="D33" s="28"/>
      <c r="E33" s="7"/>
      <c r="F33" s="7"/>
    </row>
    <row r="34" spans="1:6" ht="31.5" customHeight="1" x14ac:dyDescent="0.25">
      <c r="A34" s="7"/>
      <c r="B34" s="30" t="s">
        <v>128</v>
      </c>
      <c r="C34" s="31" t="s">
        <v>105</v>
      </c>
      <c r="D34" s="28">
        <v>10</v>
      </c>
      <c r="E34" s="7">
        <v>300</v>
      </c>
      <c r="F34" s="7">
        <f>D34*E34</f>
        <v>3000</v>
      </c>
    </row>
    <row r="35" spans="1:6" ht="78.75" customHeight="1" x14ac:dyDescent="0.25">
      <c r="A35" s="7"/>
      <c r="B35" s="29" t="s">
        <v>129</v>
      </c>
      <c r="C35" s="28"/>
      <c r="D35" s="28"/>
      <c r="E35" s="7"/>
      <c r="F35" s="7"/>
    </row>
    <row r="36" spans="1:6" ht="15.75" customHeight="1" x14ac:dyDescent="0.25">
      <c r="A36" s="7"/>
      <c r="B36" s="30" t="s">
        <v>130</v>
      </c>
      <c r="C36" s="31" t="s">
        <v>105</v>
      </c>
      <c r="D36" s="28">
        <v>10</v>
      </c>
      <c r="E36" s="7">
        <v>1956</v>
      </c>
      <c r="F36" s="7">
        <f>D36*E36</f>
        <v>19560</v>
      </c>
    </row>
    <row r="37" spans="1:6" ht="15.75" customHeight="1" x14ac:dyDescent="0.25">
      <c r="A37" s="7"/>
      <c r="B37" s="30" t="s">
        <v>131</v>
      </c>
      <c r="C37" s="31" t="s">
        <v>105</v>
      </c>
      <c r="D37" s="28">
        <v>10</v>
      </c>
      <c r="E37" s="7">
        <v>2600</v>
      </c>
      <c r="F37" s="7">
        <f>D37*E37</f>
        <v>26000</v>
      </c>
    </row>
    <row r="38" spans="1:6" ht="15.75" customHeight="1" x14ac:dyDescent="0.25">
      <c r="A38" s="7"/>
      <c r="B38" s="30" t="s">
        <v>132</v>
      </c>
      <c r="C38" s="31" t="s">
        <v>105</v>
      </c>
      <c r="D38" s="28">
        <v>10</v>
      </c>
      <c r="E38" s="7">
        <v>3500</v>
      </c>
      <c r="F38" s="7">
        <f>D38*E38</f>
        <v>35000</v>
      </c>
    </row>
    <row r="39" spans="1:6" ht="31.5" customHeight="1" x14ac:dyDescent="0.25">
      <c r="A39" s="7"/>
      <c r="B39" s="29" t="s">
        <v>133</v>
      </c>
      <c r="C39" s="28"/>
      <c r="D39" s="28"/>
      <c r="E39" s="7"/>
      <c r="F39" s="7"/>
    </row>
    <row r="40" spans="1:6" ht="31.5" customHeight="1" x14ac:dyDescent="0.25">
      <c r="A40" s="7"/>
      <c r="B40" s="30" t="s">
        <v>134</v>
      </c>
      <c r="C40" s="31" t="s">
        <v>105</v>
      </c>
      <c r="D40" s="28">
        <v>10</v>
      </c>
      <c r="E40" s="7">
        <v>12000</v>
      </c>
      <c r="F40" s="7">
        <f>D40*E40</f>
        <v>120000</v>
      </c>
    </row>
    <row r="41" spans="1:6" ht="31.5" customHeight="1" x14ac:dyDescent="0.25">
      <c r="A41" s="7"/>
      <c r="B41" s="29" t="s">
        <v>135</v>
      </c>
      <c r="C41" s="28"/>
      <c r="D41" s="28"/>
      <c r="E41" s="7"/>
      <c r="F41" s="7"/>
    </row>
    <row r="42" spans="1:6" ht="31.5" customHeight="1" x14ac:dyDescent="0.25">
      <c r="A42" s="7"/>
      <c r="B42" s="30" t="s">
        <v>136</v>
      </c>
      <c r="C42" s="31" t="s">
        <v>105</v>
      </c>
      <c r="D42" s="28">
        <v>10</v>
      </c>
      <c r="E42" s="7">
        <v>13000</v>
      </c>
      <c r="F42" s="7">
        <f>D42*E42</f>
        <v>130000</v>
      </c>
    </row>
    <row r="43" spans="1:6" ht="15.75" customHeight="1" x14ac:dyDescent="0.25">
      <c r="A43" s="7"/>
      <c r="B43" s="29" t="s">
        <v>137</v>
      </c>
      <c r="C43" s="28"/>
      <c r="D43" s="28"/>
      <c r="E43" s="7"/>
      <c r="F43" s="7"/>
    </row>
    <row r="44" spans="1:6" ht="31.5" customHeight="1" x14ac:dyDescent="0.25">
      <c r="A44" s="7"/>
      <c r="B44" s="30" t="s">
        <v>138</v>
      </c>
      <c r="C44" s="31" t="s">
        <v>105</v>
      </c>
      <c r="D44" s="28">
        <v>10</v>
      </c>
      <c r="E44" s="7">
        <v>1200</v>
      </c>
      <c r="F44" s="7">
        <f>D44*E44</f>
        <v>12000</v>
      </c>
    </row>
    <row r="45" spans="1:6" ht="47.25" customHeight="1" x14ac:dyDescent="0.25">
      <c r="A45" s="7"/>
      <c r="B45" s="29" t="s">
        <v>139</v>
      </c>
      <c r="C45" s="28"/>
      <c r="D45" s="28"/>
      <c r="E45" s="7"/>
      <c r="F45" s="7"/>
    </row>
    <row r="46" spans="1:6" ht="31.5" customHeight="1" x14ac:dyDescent="0.25">
      <c r="A46" s="7"/>
      <c r="B46" s="30" t="s">
        <v>140</v>
      </c>
      <c r="C46" s="31" t="s">
        <v>105</v>
      </c>
      <c r="D46" s="28">
        <v>10</v>
      </c>
      <c r="E46" s="7">
        <v>6530</v>
      </c>
      <c r="F46" s="7">
        <f>D46*E46</f>
        <v>65300</v>
      </c>
    </row>
    <row r="47" spans="1:6" ht="47.25" customHeight="1" x14ac:dyDescent="0.25">
      <c r="A47" s="7"/>
      <c r="B47" s="29" t="s">
        <v>141</v>
      </c>
      <c r="C47" s="28"/>
      <c r="D47" s="28"/>
      <c r="E47" s="7"/>
      <c r="F47" s="7"/>
    </row>
    <row r="48" spans="1:6" ht="31.5" customHeight="1" x14ac:dyDescent="0.25">
      <c r="A48" s="7"/>
      <c r="B48" s="30" t="s">
        <v>140</v>
      </c>
      <c r="C48" s="31" t="s">
        <v>105</v>
      </c>
      <c r="D48" s="28">
        <v>10</v>
      </c>
      <c r="E48" s="7">
        <v>4644</v>
      </c>
      <c r="F48" s="7">
        <f>D48*E48</f>
        <v>46440</v>
      </c>
    </row>
    <row r="49" spans="1:6" ht="31.5" customHeight="1" x14ac:dyDescent="0.25">
      <c r="A49" s="7"/>
      <c r="B49" s="29" t="s">
        <v>142</v>
      </c>
      <c r="C49" s="28"/>
      <c r="D49" s="28"/>
      <c r="E49" s="7"/>
      <c r="F49" s="7"/>
    </row>
    <row r="50" spans="1:6" ht="15.75" customHeight="1" x14ac:dyDescent="0.25">
      <c r="A50" s="7"/>
      <c r="B50" s="30" t="s">
        <v>143</v>
      </c>
      <c r="C50" s="31" t="s">
        <v>105</v>
      </c>
      <c r="D50" s="28">
        <v>10</v>
      </c>
      <c r="E50" s="7">
        <v>900</v>
      </c>
      <c r="F50" s="7">
        <f>D50*E50</f>
        <v>9000</v>
      </c>
    </row>
    <row r="51" spans="1:6" ht="15.75" customHeight="1" x14ac:dyDescent="0.25">
      <c r="A51" s="7"/>
      <c r="B51" s="30" t="s">
        <v>144</v>
      </c>
      <c r="C51" s="31" t="s">
        <v>105</v>
      </c>
      <c r="D51" s="28">
        <v>10</v>
      </c>
      <c r="E51" s="7">
        <v>1200</v>
      </c>
      <c r="F51" s="7">
        <f>D51*E51</f>
        <v>12000</v>
      </c>
    </row>
    <row r="52" spans="1:6" ht="31.5" customHeight="1" x14ac:dyDescent="0.25">
      <c r="A52" s="7"/>
      <c r="B52" s="29" t="s">
        <v>145</v>
      </c>
      <c r="C52" s="28"/>
      <c r="D52" s="28"/>
      <c r="E52" s="7"/>
      <c r="F52" s="7"/>
    </row>
    <row r="53" spans="1:6" ht="31.5" customHeight="1" x14ac:dyDescent="0.25">
      <c r="A53" s="7"/>
      <c r="B53" s="30" t="s">
        <v>146</v>
      </c>
      <c r="C53" s="31" t="s">
        <v>105</v>
      </c>
      <c r="D53" s="28">
        <v>10</v>
      </c>
      <c r="E53" s="7">
        <v>2500</v>
      </c>
      <c r="F53" s="7">
        <f>D53*E53</f>
        <v>25000</v>
      </c>
    </row>
    <row r="54" spans="1:6" ht="15.75" customHeight="1" x14ac:dyDescent="0.25">
      <c r="A54" s="7"/>
      <c r="B54" s="27" t="s">
        <v>147</v>
      </c>
      <c r="C54" s="28"/>
      <c r="D54" s="28"/>
      <c r="E54" s="7"/>
      <c r="F54" s="7"/>
    </row>
    <row r="55" spans="1:6" ht="31.5" customHeight="1" x14ac:dyDescent="0.25">
      <c r="A55" s="7"/>
      <c r="B55" s="29" t="s">
        <v>148</v>
      </c>
      <c r="C55" s="28"/>
      <c r="D55" s="28"/>
      <c r="E55" s="7"/>
      <c r="F55" s="7"/>
    </row>
    <row r="56" spans="1:6" ht="31.5" customHeight="1" x14ac:dyDescent="0.25">
      <c r="A56" s="7"/>
      <c r="B56" s="30" t="s">
        <v>146</v>
      </c>
      <c r="C56" s="31" t="s">
        <v>105</v>
      </c>
      <c r="D56" s="28">
        <v>10</v>
      </c>
      <c r="E56" s="7">
        <v>7000</v>
      </c>
      <c r="F56" s="7">
        <f>D56*E56</f>
        <v>70000</v>
      </c>
    </row>
    <row r="57" spans="1:6" ht="31.5" customHeight="1" x14ac:dyDescent="0.25">
      <c r="A57" s="7"/>
      <c r="B57" s="30" t="s">
        <v>149</v>
      </c>
      <c r="C57" s="31" t="s">
        <v>105</v>
      </c>
      <c r="D57" s="28">
        <v>10</v>
      </c>
      <c r="E57" s="7">
        <v>9000</v>
      </c>
      <c r="F57" s="7">
        <f>D57*E57</f>
        <v>90000</v>
      </c>
    </row>
    <row r="58" spans="1:6" ht="15.75" customHeight="1" x14ac:dyDescent="0.25">
      <c r="A58" s="7"/>
      <c r="B58" s="29" t="s">
        <v>150</v>
      </c>
      <c r="C58" s="28"/>
      <c r="D58" s="28"/>
      <c r="E58" s="7"/>
      <c r="F58" s="7"/>
    </row>
    <row r="59" spans="1:6" ht="31.5" customHeight="1" x14ac:dyDescent="0.25">
      <c r="A59" s="7"/>
      <c r="B59" s="30" t="s">
        <v>151</v>
      </c>
      <c r="C59" s="31" t="s">
        <v>105</v>
      </c>
      <c r="D59" s="28">
        <v>10</v>
      </c>
      <c r="E59" s="7">
        <v>8000</v>
      </c>
      <c r="F59" s="7">
        <f>D59*E59</f>
        <v>80000</v>
      </c>
    </row>
    <row r="60" spans="1:6" ht="31.5" customHeight="1" x14ac:dyDescent="0.25">
      <c r="A60" s="7"/>
      <c r="B60" s="30" t="s">
        <v>152</v>
      </c>
      <c r="C60" s="31" t="s">
        <v>105</v>
      </c>
      <c r="D60" s="28">
        <v>10</v>
      </c>
      <c r="E60" s="7">
        <v>10000</v>
      </c>
      <c r="F60" s="7">
        <f>D60*E60</f>
        <v>100000</v>
      </c>
    </row>
    <row r="61" spans="1:6" ht="31.5" customHeight="1" x14ac:dyDescent="0.25">
      <c r="A61" s="7"/>
      <c r="B61" s="29" t="s">
        <v>153</v>
      </c>
      <c r="C61" s="28"/>
      <c r="D61" s="28"/>
      <c r="E61" s="7"/>
      <c r="F61" s="7"/>
    </row>
    <row r="62" spans="1:6" ht="15.75" customHeight="1" x14ac:dyDescent="0.25">
      <c r="A62" s="7"/>
      <c r="B62" s="30" t="s">
        <v>154</v>
      </c>
      <c r="C62" s="31" t="s">
        <v>105</v>
      </c>
      <c r="D62" s="28">
        <v>10</v>
      </c>
      <c r="E62" s="7">
        <v>500</v>
      </c>
      <c r="F62" s="7">
        <f t="shared" ref="F62:F67" si="0">D62*E62</f>
        <v>5000</v>
      </c>
    </row>
    <row r="63" spans="1:6" ht="15.75" customHeight="1" x14ac:dyDescent="0.25">
      <c r="A63" s="7"/>
      <c r="B63" s="30" t="s">
        <v>155</v>
      </c>
      <c r="C63" s="31" t="s">
        <v>105</v>
      </c>
      <c r="D63" s="28">
        <v>10</v>
      </c>
      <c r="E63" s="7">
        <v>800</v>
      </c>
      <c r="F63" s="7">
        <f t="shared" si="0"/>
        <v>8000</v>
      </c>
    </row>
    <row r="64" spans="1:6" ht="15.75" customHeight="1" x14ac:dyDescent="0.25">
      <c r="A64" s="7"/>
      <c r="B64" s="30" t="s">
        <v>156</v>
      </c>
      <c r="C64" s="31" t="s">
        <v>105</v>
      </c>
      <c r="D64" s="28">
        <v>10</v>
      </c>
      <c r="E64" s="7">
        <v>1200</v>
      </c>
      <c r="F64" s="7">
        <f t="shared" si="0"/>
        <v>12000</v>
      </c>
    </row>
    <row r="65" spans="1:6" ht="15.75" customHeight="1" x14ac:dyDescent="0.25">
      <c r="A65" s="7"/>
      <c r="B65" s="32" t="s">
        <v>157</v>
      </c>
      <c r="C65" s="31" t="s">
        <v>105</v>
      </c>
      <c r="D65" s="28">
        <v>10</v>
      </c>
      <c r="E65" s="7">
        <v>6000</v>
      </c>
      <c r="F65" s="7">
        <f t="shared" si="0"/>
        <v>60000</v>
      </c>
    </row>
    <row r="66" spans="1:6" ht="31.5" customHeight="1" x14ac:dyDescent="0.25">
      <c r="A66" s="7"/>
      <c r="B66" s="32" t="s">
        <v>158</v>
      </c>
      <c r="C66" s="31" t="s">
        <v>105</v>
      </c>
      <c r="D66" s="28">
        <v>10</v>
      </c>
      <c r="E66" s="7">
        <v>10000</v>
      </c>
      <c r="F66" s="7">
        <f t="shared" si="0"/>
        <v>100000</v>
      </c>
    </row>
    <row r="67" spans="1:6" ht="31.5" customHeight="1" x14ac:dyDescent="0.25">
      <c r="A67" s="7"/>
      <c r="B67" s="32" t="s">
        <v>159</v>
      </c>
      <c r="C67" s="31" t="s">
        <v>105</v>
      </c>
      <c r="D67" s="28">
        <v>10</v>
      </c>
      <c r="E67" s="7">
        <v>150</v>
      </c>
      <c r="F67" s="7">
        <f t="shared" si="0"/>
        <v>1500</v>
      </c>
    </row>
    <row r="68" spans="1:6" ht="15.75" customHeight="1" x14ac:dyDescent="0.25">
      <c r="A68" s="7"/>
      <c r="B68" s="29" t="s">
        <v>160</v>
      </c>
      <c r="C68" s="28"/>
      <c r="D68" s="28"/>
      <c r="E68" s="7"/>
      <c r="F68" s="7"/>
    </row>
    <row r="69" spans="1:6" ht="31.5" customHeight="1" x14ac:dyDescent="0.25">
      <c r="A69" s="7"/>
      <c r="B69" s="30" t="s">
        <v>161</v>
      </c>
      <c r="C69" s="31" t="s">
        <v>105</v>
      </c>
      <c r="D69" s="28">
        <v>10</v>
      </c>
      <c r="E69" s="7">
        <v>1990</v>
      </c>
      <c r="F69" s="7">
        <f>D69*E69</f>
        <v>19900</v>
      </c>
    </row>
    <row r="70" spans="1:6" ht="31.5" customHeight="1" x14ac:dyDescent="0.25">
      <c r="A70" s="7"/>
      <c r="B70" s="30" t="s">
        <v>162</v>
      </c>
      <c r="C70" s="31" t="s">
        <v>105</v>
      </c>
      <c r="D70" s="28">
        <v>10</v>
      </c>
      <c r="E70" s="7">
        <v>2500</v>
      </c>
      <c r="F70" s="7">
        <f>D70*E70</f>
        <v>25000</v>
      </c>
    </row>
    <row r="71" spans="1:6" ht="15.75" customHeight="1" x14ac:dyDescent="0.25">
      <c r="A71" s="7"/>
      <c r="B71" s="29" t="s">
        <v>163</v>
      </c>
      <c r="C71" s="28"/>
      <c r="D71" s="28"/>
      <c r="E71" s="7"/>
      <c r="F71" s="7"/>
    </row>
    <row r="72" spans="1:6" ht="15.75" customHeight="1" x14ac:dyDescent="0.25">
      <c r="A72" s="7"/>
      <c r="B72" s="30" t="s">
        <v>164</v>
      </c>
      <c r="C72" s="31" t="s">
        <v>105</v>
      </c>
      <c r="D72" s="28">
        <v>10</v>
      </c>
      <c r="E72" s="7">
        <v>2200</v>
      </c>
      <c r="F72" s="7">
        <f>D72*E72</f>
        <v>22000</v>
      </c>
    </row>
    <row r="73" spans="1:6" ht="15.75" customHeight="1" x14ac:dyDescent="0.25">
      <c r="A73" s="7"/>
      <c r="B73" s="30" t="s">
        <v>165</v>
      </c>
      <c r="C73" s="31" t="s">
        <v>105</v>
      </c>
      <c r="D73" s="28">
        <v>10</v>
      </c>
      <c r="E73" s="7">
        <v>3000</v>
      </c>
      <c r="F73" s="7">
        <f>D73*E73</f>
        <v>30000</v>
      </c>
    </row>
    <row r="74" spans="1:6" ht="31.5" customHeight="1" x14ac:dyDescent="0.25">
      <c r="A74" s="7"/>
      <c r="B74" s="29" t="s">
        <v>166</v>
      </c>
      <c r="C74" s="28"/>
      <c r="D74" s="28"/>
      <c r="E74" s="7"/>
      <c r="F74" s="7"/>
    </row>
    <row r="75" spans="1:6" ht="15.75" customHeight="1" x14ac:dyDescent="0.25">
      <c r="A75" s="7"/>
      <c r="B75" s="30" t="s">
        <v>167</v>
      </c>
      <c r="C75" s="31" t="s">
        <v>105</v>
      </c>
      <c r="D75" s="28">
        <v>10</v>
      </c>
      <c r="E75" s="7">
        <v>973</v>
      </c>
      <c r="F75" s="7">
        <f>D75*E75</f>
        <v>9730</v>
      </c>
    </row>
    <row r="76" spans="1:6" ht="31.5" customHeight="1" x14ac:dyDescent="0.25">
      <c r="A76" s="7"/>
      <c r="B76" s="29" t="s">
        <v>168</v>
      </c>
      <c r="C76" s="28"/>
      <c r="D76" s="28"/>
      <c r="E76" s="7"/>
      <c r="F76" s="7"/>
    </row>
    <row r="77" spans="1:6" ht="15.75" customHeight="1" x14ac:dyDescent="0.25">
      <c r="A77" s="7"/>
      <c r="B77" s="30" t="s">
        <v>169</v>
      </c>
      <c r="C77" s="31" t="s">
        <v>105</v>
      </c>
      <c r="D77" s="28">
        <v>10</v>
      </c>
      <c r="E77" s="7">
        <v>2200</v>
      </c>
      <c r="F77" s="7">
        <f>D77*E77</f>
        <v>22000</v>
      </c>
    </row>
    <row r="78" spans="1:6" ht="15.75" customHeight="1" x14ac:dyDescent="0.25">
      <c r="A78" s="7"/>
      <c r="B78" s="30" t="s">
        <v>170</v>
      </c>
      <c r="C78" s="31" t="s">
        <v>105</v>
      </c>
      <c r="D78" s="28">
        <v>10</v>
      </c>
      <c r="E78" s="7">
        <v>2357</v>
      </c>
      <c r="F78" s="7">
        <f>D78*E78</f>
        <v>23570</v>
      </c>
    </row>
    <row r="79" spans="1:6" ht="15.75" customHeight="1" x14ac:dyDescent="0.25">
      <c r="A79" s="7"/>
      <c r="B79" s="30" t="s">
        <v>171</v>
      </c>
      <c r="C79" s="31" t="s">
        <v>105</v>
      </c>
      <c r="D79" s="28">
        <v>10</v>
      </c>
      <c r="E79" s="7">
        <v>3000</v>
      </c>
      <c r="F79" s="7">
        <f>D79*E79</f>
        <v>30000</v>
      </c>
    </row>
    <row r="80" spans="1:6" ht="15.75" customHeight="1" x14ac:dyDescent="0.25">
      <c r="A80" s="7"/>
      <c r="B80" s="29" t="s">
        <v>172</v>
      </c>
      <c r="C80" s="28"/>
      <c r="D80" s="28"/>
      <c r="E80" s="7"/>
      <c r="F80" s="7"/>
    </row>
    <row r="81" spans="1:6" ht="15.75" customHeight="1" x14ac:dyDescent="0.25">
      <c r="A81" s="7"/>
      <c r="B81" s="30" t="s">
        <v>169</v>
      </c>
      <c r="C81" s="31" t="s">
        <v>105</v>
      </c>
      <c r="D81" s="28">
        <v>10</v>
      </c>
      <c r="E81" s="7">
        <v>5000</v>
      </c>
      <c r="F81" s="7">
        <f t="shared" ref="F81:F90" si="1">D81*E81</f>
        <v>50000</v>
      </c>
    </row>
    <row r="82" spans="1:6" ht="15.75" customHeight="1" x14ac:dyDescent="0.25">
      <c r="A82" s="7"/>
      <c r="B82" s="30" t="s">
        <v>173</v>
      </c>
      <c r="C82" s="31" t="s">
        <v>105</v>
      </c>
      <c r="D82" s="28">
        <v>10</v>
      </c>
      <c r="E82" s="7">
        <v>6000</v>
      </c>
      <c r="F82" s="7">
        <f t="shared" si="1"/>
        <v>60000</v>
      </c>
    </row>
    <row r="83" spans="1:6" ht="31.5" customHeight="1" x14ac:dyDescent="0.25">
      <c r="A83" s="7"/>
      <c r="B83" s="32" t="s">
        <v>174</v>
      </c>
      <c r="C83" s="31" t="s">
        <v>105</v>
      </c>
      <c r="D83" s="28">
        <v>10</v>
      </c>
      <c r="E83" s="7">
        <v>30000</v>
      </c>
      <c r="F83" s="7">
        <f t="shared" si="1"/>
        <v>300000</v>
      </c>
    </row>
    <row r="84" spans="1:6" ht="31.5" customHeight="1" x14ac:dyDescent="0.25">
      <c r="A84" s="7"/>
      <c r="B84" s="32" t="s">
        <v>175</v>
      </c>
      <c r="C84" s="31" t="s">
        <v>105</v>
      </c>
      <c r="D84" s="28">
        <v>10</v>
      </c>
      <c r="E84" s="7">
        <v>12000</v>
      </c>
      <c r="F84" s="7">
        <f t="shared" si="1"/>
        <v>120000</v>
      </c>
    </row>
    <row r="85" spans="1:6" ht="31.5" customHeight="1" x14ac:dyDescent="0.25">
      <c r="A85" s="7"/>
      <c r="B85" s="32" t="s">
        <v>176</v>
      </c>
      <c r="C85" s="31" t="s">
        <v>105</v>
      </c>
      <c r="D85" s="28">
        <v>10</v>
      </c>
      <c r="E85" s="7">
        <v>7400</v>
      </c>
      <c r="F85" s="7">
        <f t="shared" si="1"/>
        <v>74000</v>
      </c>
    </row>
    <row r="86" spans="1:6" ht="31.5" customHeight="1" x14ac:dyDescent="0.25">
      <c r="A86" s="7"/>
      <c r="B86" s="32" t="s">
        <v>177</v>
      </c>
      <c r="C86" s="31" t="s">
        <v>105</v>
      </c>
      <c r="D86" s="28">
        <v>10</v>
      </c>
      <c r="E86" s="7">
        <v>12000</v>
      </c>
      <c r="F86" s="7">
        <f t="shared" si="1"/>
        <v>120000</v>
      </c>
    </row>
    <row r="87" spans="1:6" ht="15.75" customHeight="1" x14ac:dyDescent="0.25">
      <c r="A87" s="7"/>
      <c r="B87" s="32" t="s">
        <v>178</v>
      </c>
      <c r="C87" s="31" t="s">
        <v>105</v>
      </c>
      <c r="D87" s="28">
        <v>10</v>
      </c>
      <c r="E87" s="7">
        <v>250</v>
      </c>
      <c r="F87" s="7">
        <f t="shared" si="1"/>
        <v>2500</v>
      </c>
    </row>
    <row r="88" spans="1:6" ht="15.75" customHeight="1" x14ac:dyDescent="0.25">
      <c r="A88" s="7"/>
      <c r="B88" s="32" t="s">
        <v>179</v>
      </c>
      <c r="C88" s="31" t="s">
        <v>105</v>
      </c>
      <c r="D88" s="28">
        <v>10</v>
      </c>
      <c r="E88" s="7">
        <v>500</v>
      </c>
      <c r="F88" s="7">
        <f t="shared" si="1"/>
        <v>5000</v>
      </c>
    </row>
    <row r="89" spans="1:6" ht="31.5" customHeight="1" x14ac:dyDescent="0.25">
      <c r="A89" s="7"/>
      <c r="B89" s="32" t="s">
        <v>180</v>
      </c>
      <c r="C89" s="31" t="s">
        <v>105</v>
      </c>
      <c r="D89" s="28">
        <v>10</v>
      </c>
      <c r="E89" s="7">
        <v>749</v>
      </c>
      <c r="F89" s="7">
        <f t="shared" si="1"/>
        <v>7490</v>
      </c>
    </row>
    <row r="90" spans="1:6" ht="15.75" customHeight="1" x14ac:dyDescent="0.25">
      <c r="A90" s="7"/>
      <c r="B90" s="32" t="s">
        <v>181</v>
      </c>
      <c r="C90" s="31" t="s">
        <v>105</v>
      </c>
      <c r="D90" s="28">
        <v>10</v>
      </c>
      <c r="E90" s="7">
        <v>1583</v>
      </c>
      <c r="F90" s="7">
        <f t="shared" si="1"/>
        <v>15830</v>
      </c>
    </row>
    <row r="91" spans="1:6" ht="15.75" customHeight="1" x14ac:dyDescent="0.25">
      <c r="A91" s="7"/>
      <c r="B91" s="29" t="s">
        <v>182</v>
      </c>
      <c r="C91" s="28"/>
      <c r="D91" s="28"/>
      <c r="E91" s="7"/>
      <c r="F91" s="7"/>
    </row>
    <row r="92" spans="1:6" ht="15.75" customHeight="1" x14ac:dyDescent="0.25">
      <c r="A92" s="7"/>
      <c r="B92" s="30" t="s">
        <v>183</v>
      </c>
      <c r="C92" s="31" t="s">
        <v>105</v>
      </c>
      <c r="D92" s="28">
        <v>10</v>
      </c>
      <c r="E92" s="7">
        <v>2500</v>
      </c>
      <c r="F92" s="7">
        <f t="shared" ref="F92:F97" si="2">D92*E92</f>
        <v>25000</v>
      </c>
    </row>
    <row r="93" spans="1:6" ht="15.75" customHeight="1" x14ac:dyDescent="0.25">
      <c r="A93" s="7"/>
      <c r="B93" s="30" t="s">
        <v>184</v>
      </c>
      <c r="C93" s="31" t="s">
        <v>105</v>
      </c>
      <c r="D93" s="28">
        <v>10</v>
      </c>
      <c r="E93" s="7">
        <v>3000</v>
      </c>
      <c r="F93" s="7">
        <f t="shared" si="2"/>
        <v>30000</v>
      </c>
    </row>
    <row r="94" spans="1:6" ht="15.75" customHeight="1" x14ac:dyDescent="0.25">
      <c r="A94" s="7"/>
      <c r="B94" s="32" t="s">
        <v>185</v>
      </c>
      <c r="C94" s="31" t="s">
        <v>105</v>
      </c>
      <c r="D94" s="28">
        <v>10</v>
      </c>
      <c r="E94" s="7">
        <v>25000</v>
      </c>
      <c r="F94" s="7">
        <f t="shared" si="2"/>
        <v>250000</v>
      </c>
    </row>
    <row r="95" spans="1:6" ht="15.75" customHeight="1" x14ac:dyDescent="0.25">
      <c r="A95" s="7"/>
      <c r="B95" s="32" t="s">
        <v>186</v>
      </c>
      <c r="C95" s="31" t="s">
        <v>105</v>
      </c>
      <c r="D95" s="28">
        <v>10</v>
      </c>
      <c r="E95" s="7">
        <v>5425</v>
      </c>
      <c r="F95" s="7">
        <f t="shared" si="2"/>
        <v>54250</v>
      </c>
    </row>
    <row r="96" spans="1:6" ht="47.25" customHeight="1" x14ac:dyDescent="0.25">
      <c r="A96" s="7"/>
      <c r="B96" s="32" t="s">
        <v>187</v>
      </c>
      <c r="C96" s="31" t="s">
        <v>105</v>
      </c>
      <c r="D96" s="28">
        <v>10</v>
      </c>
      <c r="E96" s="7">
        <v>1200</v>
      </c>
      <c r="F96" s="7">
        <f t="shared" si="2"/>
        <v>12000</v>
      </c>
    </row>
    <row r="97" spans="1:6" ht="31.5" customHeight="1" x14ac:dyDescent="0.25">
      <c r="A97" s="7"/>
      <c r="B97" s="32" t="s">
        <v>188</v>
      </c>
      <c r="C97" s="31" t="s">
        <v>105</v>
      </c>
      <c r="D97" s="28">
        <v>10</v>
      </c>
      <c r="E97" s="7">
        <v>800</v>
      </c>
      <c r="F97" s="7">
        <f t="shared" si="2"/>
        <v>8000</v>
      </c>
    </row>
    <row r="98" spans="1:6" ht="15.75" customHeight="1" x14ac:dyDescent="0.25">
      <c r="A98" s="7"/>
      <c r="B98" s="27" t="s">
        <v>189</v>
      </c>
      <c r="C98" s="28"/>
      <c r="D98" s="28"/>
      <c r="E98" s="7"/>
      <c r="F98" s="7"/>
    </row>
    <row r="99" spans="1:6" ht="15.75" customHeight="1" x14ac:dyDescent="0.25">
      <c r="A99" s="7"/>
      <c r="B99" s="32" t="s">
        <v>190</v>
      </c>
      <c r="C99" s="31" t="s">
        <v>105</v>
      </c>
      <c r="D99" s="28">
        <v>10</v>
      </c>
      <c r="E99" s="7">
        <v>97</v>
      </c>
      <c r="F99" s="7">
        <f t="shared" ref="F99:F109" si="3">D99*E99</f>
        <v>970</v>
      </c>
    </row>
    <row r="100" spans="1:6" ht="15.75" customHeight="1" x14ac:dyDescent="0.25">
      <c r="A100" s="7"/>
      <c r="B100" s="32" t="s">
        <v>191</v>
      </c>
      <c r="C100" s="31" t="s">
        <v>105</v>
      </c>
      <c r="D100" s="28">
        <v>10</v>
      </c>
      <c r="E100" s="7">
        <v>175</v>
      </c>
      <c r="F100" s="7">
        <f t="shared" si="3"/>
        <v>1750</v>
      </c>
    </row>
    <row r="101" spans="1:6" ht="15.75" customHeight="1" x14ac:dyDescent="0.25">
      <c r="A101" s="7"/>
      <c r="B101" s="32" t="s">
        <v>192</v>
      </c>
      <c r="C101" s="31" t="s">
        <v>105</v>
      </c>
      <c r="D101" s="28">
        <v>10</v>
      </c>
      <c r="E101" s="7">
        <v>165</v>
      </c>
      <c r="F101" s="7">
        <f t="shared" si="3"/>
        <v>1650</v>
      </c>
    </row>
    <row r="102" spans="1:6" ht="15.75" customHeight="1" x14ac:dyDescent="0.25">
      <c r="A102" s="7"/>
      <c r="B102" s="32" t="s">
        <v>193</v>
      </c>
      <c r="C102" s="31" t="s">
        <v>105</v>
      </c>
      <c r="D102" s="28">
        <v>10</v>
      </c>
      <c r="E102" s="7">
        <v>219</v>
      </c>
      <c r="F102" s="7">
        <f t="shared" si="3"/>
        <v>2190</v>
      </c>
    </row>
    <row r="103" spans="1:6" ht="15.75" customHeight="1" x14ac:dyDescent="0.25">
      <c r="A103" s="7"/>
      <c r="B103" s="32" t="s">
        <v>194</v>
      </c>
      <c r="C103" s="31" t="s">
        <v>105</v>
      </c>
      <c r="D103" s="28">
        <v>10</v>
      </c>
      <c r="E103" s="7">
        <v>120</v>
      </c>
      <c r="F103" s="7">
        <f t="shared" si="3"/>
        <v>1200</v>
      </c>
    </row>
    <row r="104" spans="1:6" ht="15.75" customHeight="1" x14ac:dyDescent="0.25">
      <c r="A104" s="7"/>
      <c r="B104" s="32" t="s">
        <v>195</v>
      </c>
      <c r="C104" s="31" t="s">
        <v>105</v>
      </c>
      <c r="D104" s="28">
        <v>10</v>
      </c>
      <c r="E104" s="7">
        <v>223</v>
      </c>
      <c r="F104" s="7">
        <f t="shared" si="3"/>
        <v>2230</v>
      </c>
    </row>
    <row r="105" spans="1:6" ht="15.75" customHeight="1" x14ac:dyDescent="0.25">
      <c r="A105" s="7"/>
      <c r="B105" s="32" t="s">
        <v>196</v>
      </c>
      <c r="C105" s="31" t="s">
        <v>105</v>
      </c>
      <c r="D105" s="28">
        <v>10</v>
      </c>
      <c r="E105" s="7">
        <v>350</v>
      </c>
      <c r="F105" s="7">
        <f t="shared" si="3"/>
        <v>3500</v>
      </c>
    </row>
    <row r="106" spans="1:6" ht="15.75" customHeight="1" x14ac:dyDescent="0.25">
      <c r="A106" s="7"/>
      <c r="B106" s="32" t="s">
        <v>197</v>
      </c>
      <c r="C106" s="31" t="s">
        <v>105</v>
      </c>
      <c r="D106" s="28">
        <v>10</v>
      </c>
      <c r="E106" s="7">
        <v>100</v>
      </c>
      <c r="F106" s="7">
        <f t="shared" si="3"/>
        <v>1000</v>
      </c>
    </row>
    <row r="107" spans="1:6" ht="31.5" customHeight="1" x14ac:dyDescent="0.25">
      <c r="A107" s="7"/>
      <c r="B107" s="32" t="s">
        <v>198</v>
      </c>
      <c r="C107" s="31" t="s">
        <v>105</v>
      </c>
      <c r="D107" s="28">
        <v>10</v>
      </c>
      <c r="E107" s="7">
        <v>100</v>
      </c>
      <c r="F107" s="7">
        <f t="shared" si="3"/>
        <v>1000</v>
      </c>
    </row>
    <row r="108" spans="1:6" ht="15.75" customHeight="1" x14ac:dyDescent="0.25">
      <c r="A108" s="7"/>
      <c r="B108" s="32" t="s">
        <v>199</v>
      </c>
      <c r="C108" s="31" t="s">
        <v>105</v>
      </c>
      <c r="D108" s="28">
        <v>10</v>
      </c>
      <c r="E108" s="7">
        <v>500</v>
      </c>
      <c r="F108" s="7">
        <f t="shared" si="3"/>
        <v>5000</v>
      </c>
    </row>
    <row r="109" spans="1:6" ht="15.75" customHeight="1" x14ac:dyDescent="0.25">
      <c r="A109" s="7"/>
      <c r="B109" s="32" t="s">
        <v>200</v>
      </c>
      <c r="C109" s="31" t="s">
        <v>105</v>
      </c>
      <c r="D109" s="28">
        <v>10</v>
      </c>
      <c r="E109" s="7">
        <v>100</v>
      </c>
      <c r="F109" s="7">
        <f t="shared" si="3"/>
        <v>1000</v>
      </c>
    </row>
    <row r="110" spans="1:6" ht="15.75" customHeight="1" x14ac:dyDescent="0.25">
      <c r="A110" s="7"/>
      <c r="B110" s="27" t="s">
        <v>201</v>
      </c>
      <c r="C110" s="28"/>
      <c r="D110" s="28"/>
      <c r="E110" s="7"/>
      <c r="F110" s="7"/>
    </row>
    <row r="111" spans="1:6" ht="15.75" customHeight="1" x14ac:dyDescent="0.25">
      <c r="A111" s="7"/>
      <c r="B111" s="32" t="s">
        <v>202</v>
      </c>
      <c r="C111" s="31" t="s">
        <v>203</v>
      </c>
      <c r="D111" s="28">
        <v>1</v>
      </c>
      <c r="E111" s="7">
        <v>15000</v>
      </c>
      <c r="F111" s="7">
        <f>D111*E111</f>
        <v>15000</v>
      </c>
    </row>
    <row r="112" spans="1:6" ht="15.75" customHeight="1" x14ac:dyDescent="0.25">
      <c r="A112" s="7"/>
      <c r="B112" s="32" t="s">
        <v>204</v>
      </c>
      <c r="C112" s="31" t="s">
        <v>203</v>
      </c>
      <c r="D112" s="28">
        <v>1</v>
      </c>
      <c r="E112" s="7">
        <v>29000</v>
      </c>
      <c r="F112" s="7">
        <f>D112*E112</f>
        <v>29000</v>
      </c>
    </row>
    <row r="113" spans="1:6" ht="15.75" customHeight="1" x14ac:dyDescent="0.25">
      <c r="A113" s="7"/>
      <c r="B113" s="29" t="s">
        <v>205</v>
      </c>
      <c r="C113" s="28"/>
      <c r="D113" s="28"/>
      <c r="E113" s="7"/>
      <c r="F113" s="7"/>
    </row>
    <row r="114" spans="1:6" ht="31.5" customHeight="1" x14ac:dyDescent="0.25">
      <c r="A114" s="7"/>
      <c r="B114" s="30" t="s">
        <v>206</v>
      </c>
      <c r="C114" s="31" t="s">
        <v>203</v>
      </c>
      <c r="D114" s="28">
        <v>1</v>
      </c>
      <c r="E114" s="7">
        <v>200000</v>
      </c>
      <c r="F114" s="7">
        <f>D114*E114</f>
        <v>200000</v>
      </c>
    </row>
    <row r="115" spans="1:6" ht="15.75" customHeight="1" x14ac:dyDescent="0.25">
      <c r="A115" s="7"/>
      <c r="B115" s="30" t="s">
        <v>207</v>
      </c>
      <c r="C115" s="31" t="s">
        <v>203</v>
      </c>
      <c r="D115" s="28">
        <v>1</v>
      </c>
      <c r="E115" s="7">
        <v>200000</v>
      </c>
      <c r="F115" s="7">
        <f>D115*E115</f>
        <v>200000</v>
      </c>
    </row>
    <row r="116" spans="1:6" ht="15.75" customHeight="1" x14ac:dyDescent="0.25">
      <c r="A116" s="7"/>
      <c r="B116" s="29" t="s">
        <v>208</v>
      </c>
      <c r="C116" s="28"/>
      <c r="D116" s="28"/>
      <c r="E116" s="7"/>
      <c r="F116" s="7"/>
    </row>
    <row r="117" spans="1:6" ht="31.5" customHeight="1" x14ac:dyDescent="0.25">
      <c r="A117" s="7"/>
      <c r="B117" s="30" t="s">
        <v>206</v>
      </c>
      <c r="C117" s="31" t="s">
        <v>203</v>
      </c>
      <c r="D117" s="28">
        <v>1</v>
      </c>
      <c r="E117" s="7">
        <v>200000</v>
      </c>
      <c r="F117" s="7">
        <f>D117*E117</f>
        <v>200000</v>
      </c>
    </row>
    <row r="118" spans="1:6" ht="15.75" customHeight="1" x14ac:dyDescent="0.25">
      <c r="A118" s="7"/>
      <c r="B118" s="30" t="s">
        <v>209</v>
      </c>
      <c r="C118" s="31" t="s">
        <v>203</v>
      </c>
      <c r="D118" s="28">
        <v>1</v>
      </c>
      <c r="E118" s="7">
        <v>200000</v>
      </c>
      <c r="F118" s="7">
        <f>D118*E118</f>
        <v>200000</v>
      </c>
    </row>
    <row r="119" spans="1:6" ht="15.75" customHeight="1" x14ac:dyDescent="0.25">
      <c r="A119" s="7"/>
      <c r="B119" s="29" t="s">
        <v>210</v>
      </c>
      <c r="C119" s="28"/>
      <c r="D119" s="28"/>
      <c r="E119" s="7"/>
      <c r="F119" s="7"/>
    </row>
    <row r="120" spans="1:6" ht="15.75" customHeight="1" x14ac:dyDescent="0.25">
      <c r="A120" s="7"/>
      <c r="B120" s="30" t="s">
        <v>211</v>
      </c>
      <c r="C120" s="31" t="s">
        <v>203</v>
      </c>
      <c r="D120" s="28">
        <v>1</v>
      </c>
      <c r="E120" s="7">
        <v>1700</v>
      </c>
      <c r="F120" s="7">
        <f>D120*E120</f>
        <v>1700</v>
      </c>
    </row>
    <row r="121" spans="1:6" ht="15.75" customHeight="1" x14ac:dyDescent="0.25">
      <c r="A121" s="7"/>
      <c r="B121" s="30" t="s">
        <v>212</v>
      </c>
      <c r="C121" s="31" t="s">
        <v>203</v>
      </c>
      <c r="D121" s="28">
        <v>1</v>
      </c>
      <c r="E121" s="7">
        <v>1900</v>
      </c>
      <c r="F121" s="7">
        <f>D121*E121</f>
        <v>1900</v>
      </c>
    </row>
    <row r="122" spans="1:6" ht="15.75" customHeight="1" x14ac:dyDescent="0.25">
      <c r="A122" s="7"/>
      <c r="B122" s="29" t="s">
        <v>213</v>
      </c>
      <c r="C122" s="28"/>
      <c r="D122" s="28"/>
      <c r="E122" s="7"/>
      <c r="F122" s="7"/>
    </row>
    <row r="123" spans="1:6" ht="15.75" customHeight="1" x14ac:dyDescent="0.25">
      <c r="A123" s="7"/>
      <c r="B123" s="30" t="s">
        <v>214</v>
      </c>
      <c r="C123" s="31" t="s">
        <v>215</v>
      </c>
      <c r="D123" s="28">
        <v>1</v>
      </c>
      <c r="E123" s="7">
        <v>9300</v>
      </c>
      <c r="F123" s="7">
        <f>D123*E123</f>
        <v>9300</v>
      </c>
    </row>
    <row r="124" spans="1:6" ht="15.75" customHeight="1" x14ac:dyDescent="0.25">
      <c r="A124" s="7"/>
      <c r="B124" s="30" t="s">
        <v>216</v>
      </c>
      <c r="C124" s="31" t="s">
        <v>215</v>
      </c>
      <c r="D124" s="28">
        <v>1</v>
      </c>
      <c r="E124" s="7">
        <v>12000</v>
      </c>
      <c r="F124" s="7">
        <f>D124*E124</f>
        <v>12000</v>
      </c>
    </row>
    <row r="125" spans="1:6" ht="15.75" customHeight="1" x14ac:dyDescent="0.25">
      <c r="A125" s="7"/>
      <c r="B125" s="30" t="s">
        <v>217</v>
      </c>
      <c r="C125" s="31" t="s">
        <v>215</v>
      </c>
      <c r="D125" s="28">
        <v>1</v>
      </c>
      <c r="E125" s="7">
        <v>15500</v>
      </c>
      <c r="F125" s="7">
        <f>D125*E125</f>
        <v>15500</v>
      </c>
    </row>
    <row r="126" spans="1:6" ht="15.75" customHeight="1" x14ac:dyDescent="0.25">
      <c r="A126" s="7"/>
      <c r="B126" s="30" t="s">
        <v>218</v>
      </c>
      <c r="C126" s="31" t="s">
        <v>215</v>
      </c>
      <c r="D126" s="28">
        <v>1</v>
      </c>
      <c r="E126" s="7">
        <v>20600</v>
      </c>
      <c r="F126" s="7">
        <f>D126*E126</f>
        <v>20600</v>
      </c>
    </row>
    <row r="127" spans="1:6" ht="15.75" customHeight="1" x14ac:dyDescent="0.25">
      <c r="A127" s="7"/>
      <c r="B127" s="29" t="s">
        <v>219</v>
      </c>
      <c r="C127" s="28"/>
      <c r="D127" s="28"/>
      <c r="E127" s="7"/>
      <c r="F127" s="7"/>
    </row>
    <row r="128" spans="1:6" ht="15.75" customHeight="1" x14ac:dyDescent="0.25">
      <c r="A128" s="7"/>
      <c r="B128" s="30" t="s">
        <v>220</v>
      </c>
      <c r="C128" s="31" t="s">
        <v>221</v>
      </c>
      <c r="D128" s="28">
        <v>1</v>
      </c>
      <c r="E128" s="7">
        <v>170</v>
      </c>
      <c r="F128" s="7">
        <f t="shared" ref="F128:F134" si="4">D128*E128</f>
        <v>170</v>
      </c>
    </row>
    <row r="129" spans="1:6" ht="15.75" customHeight="1" x14ac:dyDescent="0.25">
      <c r="A129" s="7"/>
      <c r="B129" s="30" t="s">
        <v>222</v>
      </c>
      <c r="C129" s="31" t="s">
        <v>221</v>
      </c>
      <c r="D129" s="28">
        <v>1</v>
      </c>
      <c r="E129" s="7">
        <v>880</v>
      </c>
      <c r="F129" s="7">
        <f t="shared" si="4"/>
        <v>880</v>
      </c>
    </row>
    <row r="130" spans="1:6" ht="31.5" customHeight="1" x14ac:dyDescent="0.25">
      <c r="A130" s="7"/>
      <c r="B130" s="30" t="s">
        <v>223</v>
      </c>
      <c r="C130" s="31" t="s">
        <v>215</v>
      </c>
      <c r="D130" s="28">
        <v>1</v>
      </c>
      <c r="E130" s="7">
        <v>1280</v>
      </c>
      <c r="F130" s="7">
        <f t="shared" si="4"/>
        <v>1280</v>
      </c>
    </row>
    <row r="131" spans="1:6" ht="15.75" customHeight="1" x14ac:dyDescent="0.25">
      <c r="A131" s="7"/>
      <c r="B131" s="30" t="s">
        <v>224</v>
      </c>
      <c r="C131" s="31" t="s">
        <v>215</v>
      </c>
      <c r="D131" s="28">
        <v>1</v>
      </c>
      <c r="E131" s="7">
        <v>760</v>
      </c>
      <c r="F131" s="7">
        <f t="shared" si="4"/>
        <v>760</v>
      </c>
    </row>
    <row r="132" spans="1:6" ht="31.5" customHeight="1" x14ac:dyDescent="0.25">
      <c r="A132" s="7"/>
      <c r="B132" s="30" t="s">
        <v>225</v>
      </c>
      <c r="C132" s="31" t="s">
        <v>215</v>
      </c>
      <c r="D132" s="28">
        <v>1</v>
      </c>
      <c r="E132" s="7">
        <v>750</v>
      </c>
      <c r="F132" s="7">
        <f t="shared" si="4"/>
        <v>750</v>
      </c>
    </row>
    <row r="133" spans="1:6" ht="47.25" customHeight="1" x14ac:dyDescent="0.25">
      <c r="A133" s="7"/>
      <c r="B133" s="30" t="s">
        <v>226</v>
      </c>
      <c r="C133" s="31" t="s">
        <v>215</v>
      </c>
      <c r="D133" s="28">
        <v>1</v>
      </c>
      <c r="E133" s="7">
        <v>300</v>
      </c>
      <c r="F133" s="7">
        <f t="shared" si="4"/>
        <v>300</v>
      </c>
    </row>
    <row r="134" spans="1:6" ht="31.5" customHeight="1" x14ac:dyDescent="0.25">
      <c r="A134" s="7"/>
      <c r="B134" s="30" t="s">
        <v>227</v>
      </c>
      <c r="C134" s="31" t="s">
        <v>221</v>
      </c>
      <c r="D134" s="28">
        <v>1</v>
      </c>
      <c r="E134" s="7">
        <v>170</v>
      </c>
      <c r="F134" s="7">
        <f t="shared" si="4"/>
        <v>170</v>
      </c>
    </row>
    <row r="135" spans="1:6" ht="15.75" customHeight="1" x14ac:dyDescent="0.25">
      <c r="A135" s="7"/>
      <c r="B135" s="29" t="s">
        <v>228</v>
      </c>
      <c r="C135" s="28"/>
      <c r="D135" s="28"/>
      <c r="E135" s="7"/>
      <c r="F135" s="7"/>
    </row>
    <row r="136" spans="1:6" ht="15.75" customHeight="1" x14ac:dyDescent="0.25">
      <c r="A136" s="7"/>
      <c r="B136" s="30" t="s">
        <v>229</v>
      </c>
      <c r="C136" s="31" t="s">
        <v>221</v>
      </c>
      <c r="D136" s="28">
        <v>1</v>
      </c>
      <c r="E136" s="7">
        <v>690</v>
      </c>
      <c r="F136" s="7">
        <f>D136*E136</f>
        <v>690</v>
      </c>
    </row>
    <row r="137" spans="1:6" ht="15.75" customHeight="1" x14ac:dyDescent="0.25">
      <c r="A137" s="7"/>
      <c r="B137" s="30" t="s">
        <v>230</v>
      </c>
      <c r="C137" s="31" t="s">
        <v>221</v>
      </c>
      <c r="D137" s="28">
        <v>1</v>
      </c>
      <c r="E137" s="7">
        <v>720</v>
      </c>
      <c r="F137" s="7">
        <f>D137*E137</f>
        <v>720</v>
      </c>
    </row>
    <row r="138" spans="1:6" ht="15.75" customHeight="1" x14ac:dyDescent="0.25">
      <c r="A138" s="7"/>
      <c r="B138" s="30" t="s">
        <v>231</v>
      </c>
      <c r="C138" s="31" t="s">
        <v>221</v>
      </c>
      <c r="D138" s="28">
        <v>1</v>
      </c>
      <c r="E138" s="7">
        <v>700</v>
      </c>
      <c r="F138" s="7">
        <f>D138*E138</f>
        <v>700</v>
      </c>
    </row>
    <row r="139" spans="1:6" ht="15.75" customHeight="1" x14ac:dyDescent="0.25">
      <c r="A139" s="7"/>
      <c r="B139" s="32" t="s">
        <v>232</v>
      </c>
      <c r="C139" s="31" t="s">
        <v>221</v>
      </c>
      <c r="D139" s="28">
        <v>1</v>
      </c>
      <c r="E139" s="7">
        <v>2400</v>
      </c>
      <c r="F139" s="7">
        <f>D139*E139</f>
        <v>2400</v>
      </c>
    </row>
    <row r="140" spans="1:6" ht="15.75" customHeight="1" x14ac:dyDescent="0.25">
      <c r="A140" s="7"/>
      <c r="B140" s="32" t="s">
        <v>233</v>
      </c>
      <c r="C140" s="31" t="s">
        <v>221</v>
      </c>
      <c r="D140" s="28">
        <v>1</v>
      </c>
      <c r="E140" s="7">
        <v>2500</v>
      </c>
      <c r="F140" s="7">
        <f>D140*E140</f>
        <v>2500</v>
      </c>
    </row>
    <row r="141" spans="1:6" ht="15.75" customHeight="1" x14ac:dyDescent="0.25">
      <c r="A141" s="7"/>
      <c r="B141" s="29" t="s">
        <v>234</v>
      </c>
      <c r="C141" s="28"/>
      <c r="D141" s="28"/>
      <c r="E141" s="7"/>
      <c r="F141" s="7"/>
    </row>
    <row r="142" spans="1:6" ht="31.5" customHeight="1" x14ac:dyDescent="0.25">
      <c r="A142" s="7"/>
      <c r="B142" s="30" t="s">
        <v>235</v>
      </c>
      <c r="C142" s="31" t="s">
        <v>236</v>
      </c>
      <c r="D142" s="28">
        <v>1000</v>
      </c>
      <c r="E142" s="7">
        <v>280</v>
      </c>
      <c r="F142" s="7">
        <f>D142*E142</f>
        <v>280000</v>
      </c>
    </row>
    <row r="143" spans="1:6" ht="31.5" customHeight="1" x14ac:dyDescent="0.25">
      <c r="A143" s="7"/>
      <c r="B143" s="30" t="s">
        <v>237</v>
      </c>
      <c r="C143" s="31" t="s">
        <v>236</v>
      </c>
      <c r="D143" s="28">
        <v>1000</v>
      </c>
      <c r="E143" s="7">
        <v>250</v>
      </c>
      <c r="F143" s="7">
        <f>D143*E143</f>
        <v>250000</v>
      </c>
    </row>
    <row r="144" spans="1:6" ht="15.75" customHeight="1" x14ac:dyDescent="0.25">
      <c r="A144" s="7"/>
      <c r="B144" s="30" t="s">
        <v>238</v>
      </c>
      <c r="C144" s="31" t="s">
        <v>236</v>
      </c>
      <c r="D144" s="28">
        <v>1000</v>
      </c>
      <c r="E144" s="7">
        <v>250</v>
      </c>
      <c r="F144" s="7">
        <f>D144*E144</f>
        <v>250000</v>
      </c>
    </row>
    <row r="145" spans="1:6" ht="15.75" customHeight="1" x14ac:dyDescent="0.25">
      <c r="A145" s="7"/>
      <c r="B145" s="30" t="s">
        <v>239</v>
      </c>
      <c r="C145" s="31" t="s">
        <v>236</v>
      </c>
      <c r="D145" s="28">
        <v>1000</v>
      </c>
      <c r="E145" s="7">
        <v>260</v>
      </c>
      <c r="F145" s="7">
        <f>D145*E145</f>
        <v>260000</v>
      </c>
    </row>
    <row r="146" spans="1:6" ht="15.75" customHeight="1" x14ac:dyDescent="0.25">
      <c r="A146" s="7"/>
      <c r="B146" s="29" t="s">
        <v>240</v>
      </c>
      <c r="C146" s="28"/>
      <c r="D146" s="28"/>
      <c r="E146" s="7"/>
      <c r="F146" s="7"/>
    </row>
    <row r="147" spans="1:6" ht="15.75" customHeight="1" x14ac:dyDescent="0.25">
      <c r="A147" s="7"/>
      <c r="B147" s="30" t="s">
        <v>241</v>
      </c>
      <c r="C147" s="31" t="s">
        <v>215</v>
      </c>
      <c r="D147" s="28">
        <v>1</v>
      </c>
      <c r="E147" s="7">
        <v>2304</v>
      </c>
      <c r="F147" s="7">
        <f t="shared" ref="F147:F152" si="5">D147*E147</f>
        <v>2304</v>
      </c>
    </row>
    <row r="148" spans="1:6" ht="15.75" customHeight="1" x14ac:dyDescent="0.25">
      <c r="A148" s="7"/>
      <c r="B148" s="30" t="s">
        <v>242</v>
      </c>
      <c r="C148" s="31" t="s">
        <v>215</v>
      </c>
      <c r="D148" s="28">
        <v>1</v>
      </c>
      <c r="E148" s="7">
        <v>2852</v>
      </c>
      <c r="F148" s="7">
        <f t="shared" si="5"/>
        <v>2852</v>
      </c>
    </row>
    <row r="149" spans="1:6" ht="31.5" customHeight="1" x14ac:dyDescent="0.25">
      <c r="A149" s="7"/>
      <c r="B149" s="32" t="s">
        <v>243</v>
      </c>
      <c r="C149" s="31" t="s">
        <v>215</v>
      </c>
      <c r="D149" s="28">
        <v>1</v>
      </c>
      <c r="E149" s="7">
        <v>3463</v>
      </c>
      <c r="F149" s="7">
        <f t="shared" si="5"/>
        <v>3463</v>
      </c>
    </row>
    <row r="150" spans="1:6" ht="15.75" customHeight="1" x14ac:dyDescent="0.25">
      <c r="A150" s="7"/>
      <c r="B150" s="32" t="s">
        <v>244</v>
      </c>
      <c r="C150" s="31" t="s">
        <v>215</v>
      </c>
      <c r="D150" s="28">
        <v>1</v>
      </c>
      <c r="E150" s="7">
        <v>4227</v>
      </c>
      <c r="F150" s="7">
        <f t="shared" si="5"/>
        <v>4227</v>
      </c>
    </row>
    <row r="151" spans="1:6" ht="15.75" customHeight="1" x14ac:dyDescent="0.25">
      <c r="A151" s="7"/>
      <c r="B151" s="32" t="s">
        <v>245</v>
      </c>
      <c r="C151" s="31" t="s">
        <v>215</v>
      </c>
      <c r="D151" s="28">
        <v>1</v>
      </c>
      <c r="E151" s="7">
        <v>1612</v>
      </c>
      <c r="F151" s="7">
        <f t="shared" si="5"/>
        <v>1612</v>
      </c>
    </row>
    <row r="152" spans="1:6" ht="15.75" customHeight="1" x14ac:dyDescent="0.25">
      <c r="A152" s="7"/>
      <c r="B152" s="32" t="s">
        <v>246</v>
      </c>
      <c r="C152" s="31" t="s">
        <v>215</v>
      </c>
      <c r="D152" s="28">
        <v>1</v>
      </c>
      <c r="E152" s="7">
        <v>1599</v>
      </c>
      <c r="F152" s="7">
        <f t="shared" si="5"/>
        <v>1599</v>
      </c>
    </row>
    <row r="153" spans="1:6" x14ac:dyDescent="0.25">
      <c r="B153" t="s">
        <v>27</v>
      </c>
      <c r="E153" s="7"/>
      <c r="F153" s="7">
        <f>SUM(F9:F152)</f>
        <v>5467077</v>
      </c>
    </row>
  </sheetData>
  <mergeCells count="3">
    <mergeCell ref="A3:F3"/>
    <mergeCell ref="A2:F2"/>
    <mergeCell ref="A1:F1"/>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1"/>
  <sheetViews>
    <sheetView workbookViewId="0">
      <selection sqref="A1:F1"/>
    </sheetView>
  </sheetViews>
  <sheetFormatPr defaultRowHeight="15" x14ac:dyDescent="0.25"/>
  <cols>
    <col min="1" max="1" width="16.140625" style="3" customWidth="1"/>
    <col min="2" max="2" width="30.140625" style="3" customWidth="1"/>
    <col min="3" max="3" width="16.7109375" customWidth="1"/>
    <col min="4" max="4" width="13.42578125" style="4" customWidth="1"/>
    <col min="5" max="5" width="15.5703125" customWidth="1"/>
    <col min="6" max="6" width="12.5703125" customWidth="1"/>
  </cols>
  <sheetData>
    <row r="1" spans="1:6" x14ac:dyDescent="0.25">
      <c r="A1" s="39" t="s">
        <v>0</v>
      </c>
      <c r="B1" s="40"/>
      <c r="C1" s="40"/>
      <c r="D1" s="40"/>
      <c r="E1" s="40"/>
      <c r="F1" s="41"/>
    </row>
    <row r="2" spans="1:6" x14ac:dyDescent="0.25">
      <c r="A2" s="45" t="s">
        <v>1</v>
      </c>
      <c r="B2" s="48"/>
      <c r="C2" s="46"/>
      <c r="D2" s="49"/>
      <c r="E2" s="46"/>
      <c r="F2" s="47"/>
    </row>
    <row r="3" spans="1:6" x14ac:dyDescent="0.25">
      <c r="A3" s="42" t="s">
        <v>2</v>
      </c>
      <c r="B3" s="43"/>
      <c r="C3" s="43"/>
      <c r="D3" s="43"/>
      <c r="E3" s="43"/>
      <c r="F3" s="44"/>
    </row>
    <row r="4" spans="1:6" x14ac:dyDescent="0.25">
      <c r="A4" s="10" t="s">
        <v>3</v>
      </c>
      <c r="B4" s="5"/>
      <c r="C4" s="5"/>
      <c r="D4" s="7"/>
      <c r="E4" s="7"/>
      <c r="F4" s="7"/>
    </row>
    <row r="5" spans="1:6" ht="30" customHeight="1" x14ac:dyDescent="0.25">
      <c r="A5" s="11" t="s">
        <v>247</v>
      </c>
      <c r="B5" s="12" t="s">
        <v>248</v>
      </c>
      <c r="C5" s="5"/>
      <c r="D5" s="7"/>
      <c r="E5" s="7"/>
      <c r="F5" s="7"/>
    </row>
    <row r="6" spans="1:6" x14ac:dyDescent="0.25">
      <c r="A6" s="10" t="s">
        <v>30</v>
      </c>
      <c r="B6" s="5" t="s">
        <v>6</v>
      </c>
      <c r="C6" s="5" t="s">
        <v>31</v>
      </c>
      <c r="D6" s="5" t="s">
        <v>32</v>
      </c>
      <c r="E6" s="5" t="s">
        <v>33</v>
      </c>
      <c r="F6" s="5" t="s">
        <v>34</v>
      </c>
    </row>
    <row r="7" spans="1:6" ht="90" customHeight="1" x14ac:dyDescent="0.25">
      <c r="A7" s="8">
        <v>1</v>
      </c>
      <c r="B7" s="8" t="s">
        <v>249</v>
      </c>
      <c r="C7" s="13" t="s">
        <v>52</v>
      </c>
      <c r="D7" s="22">
        <v>1</v>
      </c>
      <c r="E7" s="13">
        <v>85000</v>
      </c>
      <c r="F7" s="13">
        <f t="shared" ref="F7:F30" si="0">D7*E7</f>
        <v>85000</v>
      </c>
    </row>
    <row r="8" spans="1:6" ht="45" customHeight="1" x14ac:dyDescent="0.25">
      <c r="A8" s="8">
        <v>2</v>
      </c>
      <c r="B8" s="8" t="s">
        <v>250</v>
      </c>
      <c r="C8" s="13" t="s">
        <v>52</v>
      </c>
      <c r="D8" s="22">
        <v>2</v>
      </c>
      <c r="E8" s="13">
        <v>28000</v>
      </c>
      <c r="F8" s="13">
        <f t="shared" si="0"/>
        <v>56000</v>
      </c>
    </row>
    <row r="9" spans="1:6" ht="40.5" customHeight="1" x14ac:dyDescent="0.25">
      <c r="A9" s="8">
        <v>3</v>
      </c>
      <c r="B9" s="8" t="s">
        <v>251</v>
      </c>
      <c r="C9" s="13" t="s">
        <v>52</v>
      </c>
      <c r="D9" s="22">
        <v>3</v>
      </c>
      <c r="E9" s="13">
        <v>30000</v>
      </c>
      <c r="F9" s="13">
        <f t="shared" si="0"/>
        <v>90000</v>
      </c>
    </row>
    <row r="10" spans="1:6" x14ac:dyDescent="0.25">
      <c r="A10" s="8">
        <v>4</v>
      </c>
      <c r="B10" s="8" t="s">
        <v>252</v>
      </c>
      <c r="C10" s="13" t="s">
        <v>52</v>
      </c>
      <c r="D10" s="22">
        <v>4</v>
      </c>
      <c r="E10" s="13">
        <v>12000</v>
      </c>
      <c r="F10" s="13">
        <f t="shared" si="0"/>
        <v>48000</v>
      </c>
    </row>
    <row r="11" spans="1:6" ht="45" customHeight="1" x14ac:dyDescent="0.25">
      <c r="A11" s="8">
        <v>5</v>
      </c>
      <c r="B11" s="8" t="s">
        <v>253</v>
      </c>
      <c r="C11" s="13" t="s">
        <v>52</v>
      </c>
      <c r="D11" s="22">
        <v>1</v>
      </c>
      <c r="E11" s="13">
        <v>25000</v>
      </c>
      <c r="F11" s="13">
        <f t="shared" si="0"/>
        <v>25000</v>
      </c>
    </row>
    <row r="12" spans="1:6" ht="50.25" customHeight="1" x14ac:dyDescent="0.25">
      <c r="A12" s="8">
        <v>6</v>
      </c>
      <c r="B12" s="8" t="s">
        <v>254</v>
      </c>
      <c r="C12" s="13" t="s">
        <v>52</v>
      </c>
      <c r="D12" s="22">
        <v>2</v>
      </c>
      <c r="E12" s="13">
        <v>85000</v>
      </c>
      <c r="F12" s="13">
        <f t="shared" si="0"/>
        <v>170000</v>
      </c>
    </row>
    <row r="13" spans="1:6" ht="60" customHeight="1" x14ac:dyDescent="0.25">
      <c r="A13" s="8">
        <v>7</v>
      </c>
      <c r="B13" s="8" t="s">
        <v>255</v>
      </c>
      <c r="C13" s="13" t="s">
        <v>52</v>
      </c>
      <c r="D13" s="22">
        <v>2</v>
      </c>
      <c r="E13" s="13">
        <v>95000</v>
      </c>
      <c r="F13" s="13">
        <f t="shared" si="0"/>
        <v>190000</v>
      </c>
    </row>
    <row r="14" spans="1:6" ht="45" customHeight="1" x14ac:dyDescent="0.25">
      <c r="A14" s="8">
        <v>8</v>
      </c>
      <c r="B14" s="8" t="s">
        <v>256</v>
      </c>
      <c r="C14" s="13" t="s">
        <v>52</v>
      </c>
      <c r="D14" s="22">
        <v>4</v>
      </c>
      <c r="E14" s="13">
        <v>150000</v>
      </c>
      <c r="F14" s="13">
        <f t="shared" si="0"/>
        <v>600000</v>
      </c>
    </row>
    <row r="15" spans="1:6" ht="60" customHeight="1" x14ac:dyDescent="0.25">
      <c r="A15" s="8">
        <v>9</v>
      </c>
      <c r="B15" s="8" t="s">
        <v>257</v>
      </c>
      <c r="C15" s="13" t="s">
        <v>52</v>
      </c>
      <c r="D15" s="22">
        <v>1</v>
      </c>
      <c r="E15" s="13">
        <v>120000</v>
      </c>
      <c r="F15" s="13">
        <f t="shared" si="0"/>
        <v>120000</v>
      </c>
    </row>
    <row r="16" spans="1:6" ht="45" customHeight="1" x14ac:dyDescent="0.25">
      <c r="A16" s="8">
        <v>10</v>
      </c>
      <c r="B16" s="8" t="s">
        <v>258</v>
      </c>
      <c r="C16" s="13" t="s">
        <v>52</v>
      </c>
      <c r="D16" s="22">
        <v>6</v>
      </c>
      <c r="E16" s="13">
        <v>28000</v>
      </c>
      <c r="F16" s="13">
        <f t="shared" si="0"/>
        <v>168000</v>
      </c>
    </row>
    <row r="17" spans="1:6" ht="30" customHeight="1" x14ac:dyDescent="0.25">
      <c r="A17" s="8">
        <v>11</v>
      </c>
      <c r="B17" s="8" t="s">
        <v>259</v>
      </c>
      <c r="C17" s="13" t="s">
        <v>52</v>
      </c>
      <c r="D17" s="22">
        <v>1</v>
      </c>
      <c r="E17" s="13">
        <v>45000</v>
      </c>
      <c r="F17" s="13">
        <f t="shared" si="0"/>
        <v>45000</v>
      </c>
    </row>
    <row r="18" spans="1:6" ht="45" customHeight="1" x14ac:dyDescent="0.25">
      <c r="A18" s="8">
        <v>12</v>
      </c>
      <c r="B18" s="8" t="s">
        <v>260</v>
      </c>
      <c r="C18" s="13" t="s">
        <v>52</v>
      </c>
      <c r="D18" s="22">
        <v>2</v>
      </c>
      <c r="E18" s="13">
        <v>6000</v>
      </c>
      <c r="F18" s="13">
        <f t="shared" si="0"/>
        <v>12000</v>
      </c>
    </row>
    <row r="19" spans="1:6" ht="30" customHeight="1" x14ac:dyDescent="0.25">
      <c r="A19" s="8">
        <v>13</v>
      </c>
      <c r="B19" s="8" t="s">
        <v>261</v>
      </c>
      <c r="C19" s="13" t="s">
        <v>52</v>
      </c>
      <c r="D19" s="22">
        <v>1</v>
      </c>
      <c r="E19" s="13">
        <v>34000</v>
      </c>
      <c r="F19" s="13">
        <f t="shared" si="0"/>
        <v>34000</v>
      </c>
    </row>
    <row r="20" spans="1:6" ht="30" customHeight="1" x14ac:dyDescent="0.25">
      <c r="A20" s="8">
        <v>14</v>
      </c>
      <c r="B20" s="8" t="s">
        <v>262</v>
      </c>
      <c r="C20" s="13" t="s">
        <v>52</v>
      </c>
      <c r="D20" s="22">
        <v>1</v>
      </c>
      <c r="E20" s="13">
        <v>12000</v>
      </c>
      <c r="F20" s="13">
        <f t="shared" si="0"/>
        <v>12000</v>
      </c>
    </row>
    <row r="21" spans="1:6" x14ac:dyDescent="0.25">
      <c r="A21" s="8">
        <v>15</v>
      </c>
      <c r="B21" s="8" t="s">
        <v>263</v>
      </c>
      <c r="C21" s="13" t="s">
        <v>52</v>
      </c>
      <c r="D21" s="22">
        <v>1</v>
      </c>
      <c r="E21" s="13">
        <v>5000</v>
      </c>
      <c r="F21" s="13">
        <f t="shared" si="0"/>
        <v>5000</v>
      </c>
    </row>
    <row r="22" spans="1:6" ht="75" customHeight="1" x14ac:dyDescent="0.25">
      <c r="A22" s="8">
        <v>16</v>
      </c>
      <c r="B22" s="8" t="s">
        <v>264</v>
      </c>
      <c r="C22" s="13" t="s">
        <v>52</v>
      </c>
      <c r="D22" s="22">
        <v>1</v>
      </c>
      <c r="E22" s="13">
        <v>520000</v>
      </c>
      <c r="F22" s="13">
        <f t="shared" si="0"/>
        <v>520000</v>
      </c>
    </row>
    <row r="23" spans="1:6" ht="60" customHeight="1" x14ac:dyDescent="0.25">
      <c r="A23" s="8">
        <v>17</v>
      </c>
      <c r="B23" s="8" t="s">
        <v>265</v>
      </c>
      <c r="C23" s="13" t="s">
        <v>52</v>
      </c>
      <c r="D23" s="22">
        <v>1</v>
      </c>
      <c r="E23" s="13">
        <v>47600</v>
      </c>
      <c r="F23" s="13">
        <f t="shared" si="0"/>
        <v>47600</v>
      </c>
    </row>
    <row r="24" spans="1:6" ht="45" customHeight="1" x14ac:dyDescent="0.25">
      <c r="A24" s="8">
        <v>18</v>
      </c>
      <c r="B24" s="8" t="s">
        <v>266</v>
      </c>
      <c r="C24" s="13" t="s">
        <v>52</v>
      </c>
      <c r="D24" s="22">
        <v>1</v>
      </c>
      <c r="E24" s="13">
        <v>21000</v>
      </c>
      <c r="F24" s="13">
        <f t="shared" si="0"/>
        <v>21000</v>
      </c>
    </row>
    <row r="25" spans="1:6" ht="45" customHeight="1" x14ac:dyDescent="0.25">
      <c r="A25" s="8">
        <v>19</v>
      </c>
      <c r="B25" s="8" t="s">
        <v>267</v>
      </c>
      <c r="C25" s="13" t="s">
        <v>52</v>
      </c>
      <c r="D25" s="16">
        <v>2</v>
      </c>
      <c r="E25" s="13">
        <v>3000</v>
      </c>
      <c r="F25" s="13">
        <f t="shared" si="0"/>
        <v>6000</v>
      </c>
    </row>
    <row r="26" spans="1:6" ht="60" customHeight="1" x14ac:dyDescent="0.25">
      <c r="A26" s="8">
        <v>20</v>
      </c>
      <c r="B26" s="8" t="s">
        <v>268</v>
      </c>
      <c r="C26" s="13" t="s">
        <v>52</v>
      </c>
      <c r="D26" s="16">
        <v>1</v>
      </c>
      <c r="E26" s="13">
        <v>4500</v>
      </c>
      <c r="F26" s="13">
        <f t="shared" si="0"/>
        <v>4500</v>
      </c>
    </row>
    <row r="27" spans="1:6" x14ac:dyDescent="0.25">
      <c r="A27" s="8">
        <v>21</v>
      </c>
      <c r="B27" s="8" t="s">
        <v>269</v>
      </c>
      <c r="C27" s="13" t="s">
        <v>52</v>
      </c>
      <c r="D27" s="16">
        <v>2</v>
      </c>
      <c r="E27" s="13">
        <v>150000</v>
      </c>
      <c r="F27" s="13">
        <f t="shared" si="0"/>
        <v>300000</v>
      </c>
    </row>
    <row r="28" spans="1:6" ht="30" customHeight="1" x14ac:dyDescent="0.25">
      <c r="A28" s="8">
        <v>22</v>
      </c>
      <c r="B28" s="8" t="s">
        <v>270</v>
      </c>
      <c r="C28" s="13" t="s">
        <v>52</v>
      </c>
      <c r="D28" s="16">
        <v>2</v>
      </c>
      <c r="E28" s="13">
        <v>85000</v>
      </c>
      <c r="F28" s="13">
        <f t="shared" si="0"/>
        <v>170000</v>
      </c>
    </row>
    <row r="29" spans="1:6" ht="206.25" customHeight="1" x14ac:dyDescent="0.25">
      <c r="A29" s="8">
        <v>23</v>
      </c>
      <c r="B29" s="8" t="s">
        <v>271</v>
      </c>
      <c r="C29" s="13" t="s">
        <v>52</v>
      </c>
      <c r="D29" s="16">
        <v>2</v>
      </c>
      <c r="E29" s="13">
        <v>170000</v>
      </c>
      <c r="F29" s="13">
        <f t="shared" si="0"/>
        <v>340000</v>
      </c>
    </row>
    <row r="30" spans="1:6" ht="45" customHeight="1" x14ac:dyDescent="0.25">
      <c r="A30" s="8">
        <v>24</v>
      </c>
      <c r="B30" s="8" t="s">
        <v>272</v>
      </c>
      <c r="C30" s="13" t="s">
        <v>52</v>
      </c>
      <c r="D30" s="16">
        <v>1</v>
      </c>
      <c r="E30" s="13">
        <v>120000</v>
      </c>
      <c r="F30" s="13">
        <f t="shared" si="0"/>
        <v>120000</v>
      </c>
    </row>
    <row r="31" spans="1:6" x14ac:dyDescent="0.25">
      <c r="E31" s="13"/>
      <c r="F31" s="13">
        <f>SUM(F7:F30)</f>
        <v>3189100</v>
      </c>
    </row>
  </sheetData>
  <mergeCells count="3">
    <mergeCell ref="A3:F3"/>
    <mergeCell ref="A2:F2"/>
    <mergeCell ref="A1:F1"/>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0"/>
  <sheetViews>
    <sheetView workbookViewId="0">
      <selection sqref="A1:F1"/>
    </sheetView>
  </sheetViews>
  <sheetFormatPr defaultRowHeight="15" x14ac:dyDescent="0.25"/>
  <cols>
    <col min="1" max="1" width="15.5703125" style="2" customWidth="1"/>
    <col min="2" max="2" width="41.42578125" customWidth="1"/>
    <col min="3" max="3" width="20.5703125" customWidth="1"/>
    <col min="4" max="4" width="18.42578125" style="4" customWidth="1"/>
    <col min="5" max="5" width="17.5703125" customWidth="1"/>
    <col min="6" max="6" width="15.7109375" customWidth="1"/>
  </cols>
  <sheetData>
    <row r="1" spans="1:6" x14ac:dyDescent="0.25">
      <c r="A1" s="39" t="s">
        <v>0</v>
      </c>
      <c r="B1" s="40"/>
      <c r="C1" s="40"/>
      <c r="D1" s="40"/>
      <c r="E1" s="40"/>
      <c r="F1" s="41"/>
    </row>
    <row r="2" spans="1:6" x14ac:dyDescent="0.25">
      <c r="A2" s="45" t="s">
        <v>1</v>
      </c>
      <c r="B2" s="46"/>
      <c r="C2" s="46"/>
      <c r="D2" s="49"/>
      <c r="E2" s="46"/>
      <c r="F2" s="47"/>
    </row>
    <row r="3" spans="1:6" x14ac:dyDescent="0.25">
      <c r="A3" s="42" t="s">
        <v>2</v>
      </c>
      <c r="B3" s="43"/>
      <c r="C3" s="43"/>
      <c r="D3" s="43"/>
      <c r="E3" s="43"/>
      <c r="F3" s="44"/>
    </row>
    <row r="4" spans="1:6" x14ac:dyDescent="0.25">
      <c r="A4" s="10" t="s">
        <v>3</v>
      </c>
      <c r="B4" s="5"/>
      <c r="C4" s="5"/>
      <c r="D4" s="23"/>
      <c r="E4" s="7"/>
      <c r="F4" s="7"/>
    </row>
    <row r="5" spans="1:6" ht="33.75" customHeight="1" x14ac:dyDescent="0.25">
      <c r="A5" s="11" t="s">
        <v>247</v>
      </c>
      <c r="B5" s="12" t="s">
        <v>273</v>
      </c>
      <c r="C5" s="5"/>
      <c r="D5" s="23"/>
      <c r="E5" s="7"/>
      <c r="F5" s="7"/>
    </row>
    <row r="6" spans="1:6" x14ac:dyDescent="0.25">
      <c r="A6" s="10" t="s">
        <v>30</v>
      </c>
      <c r="B6" s="5" t="s">
        <v>6</v>
      </c>
      <c r="C6" s="5" t="s">
        <v>31</v>
      </c>
      <c r="D6" s="24" t="s">
        <v>32</v>
      </c>
      <c r="E6" s="5" t="s">
        <v>33</v>
      </c>
      <c r="F6" s="5" t="s">
        <v>34</v>
      </c>
    </row>
    <row r="7" spans="1:6" x14ac:dyDescent="0.25">
      <c r="A7" s="25">
        <v>1</v>
      </c>
      <c r="B7" s="15" t="s">
        <v>274</v>
      </c>
      <c r="C7" s="13" t="s">
        <v>52</v>
      </c>
      <c r="D7" s="22">
        <v>1</v>
      </c>
      <c r="E7" s="13">
        <v>35000</v>
      </c>
      <c r="F7" s="13">
        <f t="shared" ref="F7:F30" si="0">D7*E7</f>
        <v>35000</v>
      </c>
    </row>
    <row r="8" spans="1:6" x14ac:dyDescent="0.25">
      <c r="A8" s="25">
        <v>2</v>
      </c>
      <c r="B8" s="13" t="s">
        <v>275</v>
      </c>
      <c r="C8" s="13" t="s">
        <v>52</v>
      </c>
      <c r="D8" s="22">
        <v>3</v>
      </c>
      <c r="E8" s="13">
        <v>8000</v>
      </c>
      <c r="F8" s="13">
        <f t="shared" si="0"/>
        <v>24000</v>
      </c>
    </row>
    <row r="9" spans="1:6" x14ac:dyDescent="0.25">
      <c r="A9" s="25">
        <v>3</v>
      </c>
      <c r="B9" s="13" t="s">
        <v>276</v>
      </c>
      <c r="C9" s="13" t="s">
        <v>52</v>
      </c>
      <c r="D9" s="22">
        <v>1</v>
      </c>
      <c r="E9" s="13">
        <v>28000</v>
      </c>
      <c r="F9" s="13">
        <f t="shared" si="0"/>
        <v>28000</v>
      </c>
    </row>
    <row r="10" spans="1:6" x14ac:dyDescent="0.25">
      <c r="A10" s="25">
        <v>4</v>
      </c>
      <c r="B10" s="15" t="s">
        <v>277</v>
      </c>
      <c r="C10" s="13" t="s">
        <v>52</v>
      </c>
      <c r="D10" s="22">
        <v>2</v>
      </c>
      <c r="E10" s="13">
        <v>3000</v>
      </c>
      <c r="F10" s="13">
        <f t="shared" si="0"/>
        <v>6000</v>
      </c>
    </row>
    <row r="11" spans="1:6" x14ac:dyDescent="0.25">
      <c r="A11" s="25">
        <v>5</v>
      </c>
      <c r="B11" s="13" t="s">
        <v>278</v>
      </c>
      <c r="C11" s="13" t="s">
        <v>52</v>
      </c>
      <c r="D11" s="22">
        <v>2</v>
      </c>
      <c r="E11" s="13">
        <v>12000</v>
      </c>
      <c r="F11" s="13">
        <f t="shared" si="0"/>
        <v>24000</v>
      </c>
    </row>
    <row r="12" spans="1:6" x14ac:dyDescent="0.25">
      <c r="A12" s="25">
        <v>6</v>
      </c>
      <c r="B12" s="15" t="s">
        <v>279</v>
      </c>
      <c r="C12" s="13" t="s">
        <v>52</v>
      </c>
      <c r="D12" s="22">
        <v>1</v>
      </c>
      <c r="E12" s="13">
        <v>28000</v>
      </c>
      <c r="F12" s="13">
        <f t="shared" si="0"/>
        <v>28000</v>
      </c>
    </row>
    <row r="13" spans="1:6" x14ac:dyDescent="0.25">
      <c r="A13" s="25">
        <v>7</v>
      </c>
      <c r="B13" s="13" t="s">
        <v>280</v>
      </c>
      <c r="C13" s="13" t="s">
        <v>52</v>
      </c>
      <c r="D13" s="22">
        <v>2</v>
      </c>
      <c r="E13" s="13">
        <v>20000</v>
      </c>
      <c r="F13" s="13">
        <f t="shared" si="0"/>
        <v>40000</v>
      </c>
    </row>
    <row r="14" spans="1:6" x14ac:dyDescent="0.25">
      <c r="A14" s="25">
        <v>8</v>
      </c>
      <c r="B14" s="13" t="s">
        <v>281</v>
      </c>
      <c r="C14" s="13" t="s">
        <v>52</v>
      </c>
      <c r="D14" s="22">
        <v>1</v>
      </c>
      <c r="E14" s="13">
        <v>5000</v>
      </c>
      <c r="F14" s="13">
        <f t="shared" si="0"/>
        <v>5000</v>
      </c>
    </row>
    <row r="15" spans="1:6" ht="30" customHeight="1" x14ac:dyDescent="0.25">
      <c r="A15" s="25">
        <v>9</v>
      </c>
      <c r="B15" s="15" t="s">
        <v>282</v>
      </c>
      <c r="C15" s="13" t="s">
        <v>52</v>
      </c>
      <c r="D15" s="22">
        <v>2</v>
      </c>
      <c r="E15" s="13">
        <v>18000</v>
      </c>
      <c r="F15" s="13">
        <f t="shared" si="0"/>
        <v>36000</v>
      </c>
    </row>
    <row r="16" spans="1:6" x14ac:dyDescent="0.25">
      <c r="A16" s="25">
        <v>10</v>
      </c>
      <c r="B16" s="13" t="s">
        <v>283</v>
      </c>
      <c r="C16" s="13" t="s">
        <v>52</v>
      </c>
      <c r="D16" s="22">
        <v>2</v>
      </c>
      <c r="E16" s="13">
        <v>6000</v>
      </c>
      <c r="F16" s="13">
        <f t="shared" si="0"/>
        <v>12000</v>
      </c>
    </row>
    <row r="17" spans="1:6" x14ac:dyDescent="0.25">
      <c r="A17" s="25">
        <v>11</v>
      </c>
      <c r="B17" s="13" t="s">
        <v>284</v>
      </c>
      <c r="C17" s="13" t="s">
        <v>52</v>
      </c>
      <c r="D17" s="22">
        <v>2</v>
      </c>
      <c r="E17" s="13">
        <v>8000</v>
      </c>
      <c r="F17" s="13">
        <f t="shared" si="0"/>
        <v>16000</v>
      </c>
    </row>
    <row r="18" spans="1:6" x14ac:dyDescent="0.25">
      <c r="A18" s="25">
        <v>12</v>
      </c>
      <c r="B18" s="13" t="s">
        <v>285</v>
      </c>
      <c r="C18" s="13" t="s">
        <v>52</v>
      </c>
      <c r="D18" s="22">
        <v>3</v>
      </c>
      <c r="E18" s="13">
        <v>2000</v>
      </c>
      <c r="F18" s="13">
        <f t="shared" si="0"/>
        <v>6000</v>
      </c>
    </row>
    <row r="19" spans="1:6" x14ac:dyDescent="0.25">
      <c r="A19" s="25">
        <v>13</v>
      </c>
      <c r="B19" s="15" t="s">
        <v>286</v>
      </c>
      <c r="C19" s="13" t="s">
        <v>52</v>
      </c>
      <c r="D19" s="22">
        <v>6</v>
      </c>
      <c r="E19" s="13">
        <v>1500</v>
      </c>
      <c r="F19" s="13">
        <f t="shared" si="0"/>
        <v>9000</v>
      </c>
    </row>
    <row r="20" spans="1:6" x14ac:dyDescent="0.25">
      <c r="A20" s="25">
        <v>14</v>
      </c>
      <c r="B20" s="13" t="s">
        <v>287</v>
      </c>
      <c r="C20" s="13" t="s">
        <v>52</v>
      </c>
      <c r="D20" s="22">
        <v>10</v>
      </c>
      <c r="E20" s="13">
        <v>250</v>
      </c>
      <c r="F20" s="13">
        <f t="shared" si="0"/>
        <v>2500</v>
      </c>
    </row>
    <row r="21" spans="1:6" ht="30" customHeight="1" x14ac:dyDescent="0.25">
      <c r="A21" s="25">
        <v>15</v>
      </c>
      <c r="B21" s="13" t="s">
        <v>288</v>
      </c>
      <c r="C21" s="13" t="s">
        <v>52</v>
      </c>
      <c r="D21" s="22">
        <v>1</v>
      </c>
      <c r="E21" s="13">
        <v>85000</v>
      </c>
      <c r="F21" s="13">
        <f t="shared" si="0"/>
        <v>85000</v>
      </c>
    </row>
    <row r="22" spans="1:6" x14ac:dyDescent="0.25">
      <c r="A22" s="25">
        <v>16</v>
      </c>
      <c r="B22" s="13" t="s">
        <v>289</v>
      </c>
      <c r="C22" s="13" t="s">
        <v>52</v>
      </c>
      <c r="D22" s="22">
        <v>2</v>
      </c>
      <c r="E22" s="13">
        <v>6000</v>
      </c>
      <c r="F22" s="13">
        <f t="shared" si="0"/>
        <v>12000</v>
      </c>
    </row>
    <row r="23" spans="1:6" x14ac:dyDescent="0.25">
      <c r="A23" s="25">
        <v>17</v>
      </c>
      <c r="B23" s="13" t="s">
        <v>290</v>
      </c>
      <c r="C23" s="13" t="s">
        <v>52</v>
      </c>
      <c r="D23" s="22">
        <v>1</v>
      </c>
      <c r="E23" s="13">
        <v>2000</v>
      </c>
      <c r="F23" s="13">
        <f t="shared" si="0"/>
        <v>2000</v>
      </c>
    </row>
    <row r="24" spans="1:6" x14ac:dyDescent="0.25">
      <c r="A24" s="25">
        <v>18</v>
      </c>
      <c r="B24" s="15" t="s">
        <v>291</v>
      </c>
      <c r="C24" s="13" t="s">
        <v>52</v>
      </c>
      <c r="D24" s="22">
        <v>1</v>
      </c>
      <c r="E24" s="13">
        <v>160000</v>
      </c>
      <c r="F24" s="13">
        <f t="shared" si="0"/>
        <v>160000</v>
      </c>
    </row>
    <row r="25" spans="1:6" x14ac:dyDescent="0.25">
      <c r="A25" s="25">
        <v>19</v>
      </c>
      <c r="B25" s="13" t="s">
        <v>292</v>
      </c>
      <c r="C25" s="13" t="s">
        <v>52</v>
      </c>
      <c r="D25" s="22">
        <v>100</v>
      </c>
      <c r="E25" s="13">
        <v>150</v>
      </c>
      <c r="F25" s="13">
        <f t="shared" si="0"/>
        <v>15000</v>
      </c>
    </row>
    <row r="26" spans="1:6" x14ac:dyDescent="0.25">
      <c r="A26" s="25">
        <v>20</v>
      </c>
      <c r="B26" s="13" t="s">
        <v>293</v>
      </c>
      <c r="C26" s="13" t="s">
        <v>52</v>
      </c>
      <c r="D26" s="22">
        <v>1</v>
      </c>
      <c r="E26" s="13">
        <v>120000</v>
      </c>
      <c r="F26" s="13">
        <f t="shared" si="0"/>
        <v>120000</v>
      </c>
    </row>
    <row r="27" spans="1:6" x14ac:dyDescent="0.25">
      <c r="A27" s="25">
        <v>21</v>
      </c>
      <c r="B27" s="13" t="s">
        <v>294</v>
      </c>
      <c r="C27" s="13" t="s">
        <v>52</v>
      </c>
      <c r="D27" s="22">
        <v>1</v>
      </c>
      <c r="E27" s="13">
        <v>8000</v>
      </c>
      <c r="F27" s="13">
        <f t="shared" si="0"/>
        <v>8000</v>
      </c>
    </row>
    <row r="28" spans="1:6" x14ac:dyDescent="0.25">
      <c r="A28" s="25">
        <v>22</v>
      </c>
      <c r="B28" s="13" t="s">
        <v>295</v>
      </c>
      <c r="C28" s="13" t="s">
        <v>52</v>
      </c>
      <c r="D28" s="22">
        <v>2</v>
      </c>
      <c r="E28" s="13">
        <v>2000</v>
      </c>
      <c r="F28" s="13">
        <f t="shared" si="0"/>
        <v>4000</v>
      </c>
    </row>
    <row r="29" spans="1:6" x14ac:dyDescent="0.25">
      <c r="A29" s="25">
        <v>23</v>
      </c>
      <c r="B29" s="13" t="s">
        <v>296</v>
      </c>
      <c r="C29" s="13" t="s">
        <v>52</v>
      </c>
      <c r="D29" s="22">
        <v>2</v>
      </c>
      <c r="E29" s="13">
        <v>6000</v>
      </c>
      <c r="F29" s="13">
        <f t="shared" si="0"/>
        <v>12000</v>
      </c>
    </row>
    <row r="30" spans="1:6" x14ac:dyDescent="0.25">
      <c r="A30" s="25">
        <v>24</v>
      </c>
      <c r="B30" s="13" t="s">
        <v>297</v>
      </c>
      <c r="C30" s="13" t="s">
        <v>52</v>
      </c>
      <c r="D30" s="22">
        <v>2</v>
      </c>
      <c r="E30" s="13">
        <v>600</v>
      </c>
      <c r="F30" s="13">
        <f t="shared" si="0"/>
        <v>1200</v>
      </c>
    </row>
    <row r="31" spans="1:6" x14ac:dyDescent="0.25">
      <c r="A31" s="6"/>
      <c r="B31" s="5" t="s">
        <v>298</v>
      </c>
      <c r="C31" s="7"/>
      <c r="D31" s="23"/>
      <c r="E31" s="7"/>
      <c r="F31" s="7"/>
    </row>
    <row r="32" spans="1:6" x14ac:dyDescent="0.25">
      <c r="A32" s="25">
        <v>25</v>
      </c>
      <c r="B32" s="13" t="s">
        <v>299</v>
      </c>
      <c r="C32" s="13" t="s">
        <v>52</v>
      </c>
      <c r="D32" s="22">
        <v>4</v>
      </c>
      <c r="E32" s="13">
        <v>4000</v>
      </c>
      <c r="F32" s="13">
        <f t="shared" ref="F32:F46" si="1">D32*E32</f>
        <v>16000</v>
      </c>
    </row>
    <row r="33" spans="1:6" x14ac:dyDescent="0.25">
      <c r="A33" s="25">
        <v>26</v>
      </c>
      <c r="B33" s="8" t="s">
        <v>300</v>
      </c>
      <c r="C33" s="13" t="s">
        <v>52</v>
      </c>
      <c r="D33" s="22">
        <v>4</v>
      </c>
      <c r="E33" s="13">
        <v>2000</v>
      </c>
      <c r="F33" s="13">
        <f t="shared" si="1"/>
        <v>8000</v>
      </c>
    </row>
    <row r="34" spans="1:6" x14ac:dyDescent="0.25">
      <c r="A34" s="25">
        <v>27</v>
      </c>
      <c r="B34" s="13" t="s">
        <v>301</v>
      </c>
      <c r="C34" s="13" t="s">
        <v>52</v>
      </c>
      <c r="D34" s="22">
        <v>3</v>
      </c>
      <c r="E34" s="13">
        <v>2500</v>
      </c>
      <c r="F34" s="13">
        <f t="shared" si="1"/>
        <v>7500</v>
      </c>
    </row>
    <row r="35" spans="1:6" x14ac:dyDescent="0.25">
      <c r="A35" s="25">
        <v>28</v>
      </c>
      <c r="B35" s="13" t="s">
        <v>302</v>
      </c>
      <c r="C35" s="13" t="s">
        <v>52</v>
      </c>
      <c r="D35" s="22">
        <v>3</v>
      </c>
      <c r="E35" s="13">
        <v>3000</v>
      </c>
      <c r="F35" s="13">
        <f t="shared" si="1"/>
        <v>9000</v>
      </c>
    </row>
    <row r="36" spans="1:6" x14ac:dyDescent="0.25">
      <c r="A36" s="25">
        <v>29</v>
      </c>
      <c r="B36" s="13" t="s">
        <v>303</v>
      </c>
      <c r="C36" s="13" t="s">
        <v>52</v>
      </c>
      <c r="D36" s="22">
        <v>20</v>
      </c>
      <c r="E36" s="13">
        <v>250</v>
      </c>
      <c r="F36" s="13">
        <f t="shared" si="1"/>
        <v>5000</v>
      </c>
    </row>
    <row r="37" spans="1:6" x14ac:dyDescent="0.25">
      <c r="A37" s="25">
        <v>30</v>
      </c>
      <c r="B37" s="13" t="s">
        <v>304</v>
      </c>
      <c r="C37" s="13" t="s">
        <v>52</v>
      </c>
      <c r="D37" s="22">
        <v>2</v>
      </c>
      <c r="E37" s="13">
        <v>38000</v>
      </c>
      <c r="F37" s="13">
        <f t="shared" si="1"/>
        <v>76000</v>
      </c>
    </row>
    <row r="38" spans="1:6" x14ac:dyDescent="0.25">
      <c r="A38" s="25">
        <v>31</v>
      </c>
      <c r="B38" s="13" t="s">
        <v>305</v>
      </c>
      <c r="C38" s="13" t="s">
        <v>52</v>
      </c>
      <c r="D38" s="22">
        <v>2</v>
      </c>
      <c r="E38" s="13">
        <v>48000</v>
      </c>
      <c r="F38" s="13">
        <f t="shared" si="1"/>
        <v>96000</v>
      </c>
    </row>
    <row r="39" spans="1:6" x14ac:dyDescent="0.25">
      <c r="A39" s="25">
        <v>32</v>
      </c>
      <c r="B39" s="13" t="s">
        <v>306</v>
      </c>
      <c r="C39" s="13" t="s">
        <v>52</v>
      </c>
      <c r="D39" s="22">
        <v>6</v>
      </c>
      <c r="E39" s="13">
        <v>1500</v>
      </c>
      <c r="F39" s="13">
        <f t="shared" si="1"/>
        <v>9000</v>
      </c>
    </row>
    <row r="40" spans="1:6" x14ac:dyDescent="0.25">
      <c r="A40" s="25">
        <v>33</v>
      </c>
      <c r="B40" s="13" t="s">
        <v>307</v>
      </c>
      <c r="C40" s="13" t="s">
        <v>52</v>
      </c>
      <c r="D40" s="22">
        <v>6</v>
      </c>
      <c r="E40" s="13">
        <v>1200</v>
      </c>
      <c r="F40" s="13">
        <f t="shared" si="1"/>
        <v>7200</v>
      </c>
    </row>
    <row r="41" spans="1:6" x14ac:dyDescent="0.25">
      <c r="A41" s="25">
        <v>34</v>
      </c>
      <c r="B41" s="13" t="s">
        <v>308</v>
      </c>
      <c r="C41" s="13" t="s">
        <v>309</v>
      </c>
      <c r="D41" s="22">
        <v>3</v>
      </c>
      <c r="E41" s="13">
        <v>3500</v>
      </c>
      <c r="F41" s="13">
        <f t="shared" si="1"/>
        <v>10500</v>
      </c>
    </row>
    <row r="42" spans="1:6" x14ac:dyDescent="0.25">
      <c r="A42" s="25">
        <v>35</v>
      </c>
      <c r="B42" s="13" t="s">
        <v>310</v>
      </c>
      <c r="C42" s="13" t="s">
        <v>52</v>
      </c>
      <c r="D42" s="22">
        <v>10</v>
      </c>
      <c r="E42" s="13">
        <v>800</v>
      </c>
      <c r="F42" s="13">
        <f t="shared" si="1"/>
        <v>8000</v>
      </c>
    </row>
    <row r="43" spans="1:6" x14ac:dyDescent="0.25">
      <c r="A43" s="25">
        <v>36</v>
      </c>
      <c r="B43" s="13" t="s">
        <v>311</v>
      </c>
      <c r="C43" s="13" t="s">
        <v>52</v>
      </c>
      <c r="D43" s="22">
        <v>4</v>
      </c>
      <c r="E43" s="13">
        <v>300</v>
      </c>
      <c r="F43" s="13">
        <f t="shared" si="1"/>
        <v>1200</v>
      </c>
    </row>
    <row r="44" spans="1:6" x14ac:dyDescent="0.25">
      <c r="A44" s="25">
        <v>37</v>
      </c>
      <c r="B44" s="13" t="s">
        <v>312</v>
      </c>
      <c r="C44" s="13" t="s">
        <v>52</v>
      </c>
      <c r="D44" s="22">
        <v>6</v>
      </c>
      <c r="E44" s="13">
        <v>250</v>
      </c>
      <c r="F44" s="13">
        <f t="shared" si="1"/>
        <v>1500</v>
      </c>
    </row>
    <row r="45" spans="1:6" x14ac:dyDescent="0.25">
      <c r="A45" s="25">
        <v>38</v>
      </c>
      <c r="B45" s="13" t="s">
        <v>313</v>
      </c>
      <c r="C45" s="13" t="s">
        <v>52</v>
      </c>
      <c r="D45" s="22">
        <v>1</v>
      </c>
      <c r="E45" s="13">
        <v>5000</v>
      </c>
      <c r="F45" s="13">
        <f t="shared" si="1"/>
        <v>5000</v>
      </c>
    </row>
    <row r="46" spans="1:6" x14ac:dyDescent="0.25">
      <c r="A46" s="25">
        <v>39</v>
      </c>
      <c r="B46" s="13" t="s">
        <v>314</v>
      </c>
      <c r="C46" s="13" t="s">
        <v>52</v>
      </c>
      <c r="D46" s="22">
        <v>1</v>
      </c>
      <c r="E46" s="13">
        <v>6500</v>
      </c>
      <c r="F46" s="13">
        <f t="shared" si="1"/>
        <v>6500</v>
      </c>
    </row>
    <row r="47" spans="1:6" x14ac:dyDescent="0.25">
      <c r="A47" s="6"/>
      <c r="B47" s="5" t="s">
        <v>315</v>
      </c>
      <c r="C47" s="7"/>
      <c r="D47" s="23"/>
      <c r="E47" s="7"/>
      <c r="F47" s="7"/>
    </row>
    <row r="48" spans="1:6" x14ac:dyDescent="0.25">
      <c r="A48" s="25">
        <v>40</v>
      </c>
      <c r="B48" s="13" t="s">
        <v>316</v>
      </c>
      <c r="C48" s="13" t="s">
        <v>52</v>
      </c>
      <c r="D48" s="22">
        <v>30</v>
      </c>
      <c r="E48" s="13">
        <v>18000</v>
      </c>
      <c r="F48" s="13">
        <f t="shared" ref="F48:F57" si="2">D48*E48</f>
        <v>540000</v>
      </c>
    </row>
    <row r="49" spans="1:6" x14ac:dyDescent="0.25">
      <c r="A49" s="25">
        <v>41</v>
      </c>
      <c r="B49" s="13" t="s">
        <v>317</v>
      </c>
      <c r="C49" s="13" t="s">
        <v>52</v>
      </c>
      <c r="D49" s="22">
        <v>30</v>
      </c>
      <c r="E49" s="13">
        <v>4200</v>
      </c>
      <c r="F49" s="13">
        <f t="shared" si="2"/>
        <v>126000</v>
      </c>
    </row>
    <row r="50" spans="1:6" x14ac:dyDescent="0.25">
      <c r="A50" s="25">
        <v>42</v>
      </c>
      <c r="B50" s="13" t="s">
        <v>318</v>
      </c>
      <c r="C50" s="13" t="s">
        <v>52</v>
      </c>
      <c r="D50" s="22">
        <v>5</v>
      </c>
      <c r="E50" s="13">
        <v>4000</v>
      </c>
      <c r="F50" s="13">
        <f t="shared" si="2"/>
        <v>20000</v>
      </c>
    </row>
    <row r="51" spans="1:6" x14ac:dyDescent="0.25">
      <c r="A51" s="25">
        <v>43</v>
      </c>
      <c r="B51" s="13" t="s">
        <v>319</v>
      </c>
      <c r="C51" s="13" t="s">
        <v>52</v>
      </c>
      <c r="D51" s="22">
        <v>3</v>
      </c>
      <c r="E51" s="13">
        <v>11000</v>
      </c>
      <c r="F51" s="13">
        <f t="shared" si="2"/>
        <v>33000</v>
      </c>
    </row>
    <row r="52" spans="1:6" x14ac:dyDescent="0.25">
      <c r="A52" s="25">
        <v>44</v>
      </c>
      <c r="B52" s="13" t="s">
        <v>320</v>
      </c>
      <c r="C52" s="13" t="s">
        <v>52</v>
      </c>
      <c r="D52" s="22">
        <v>15</v>
      </c>
      <c r="E52" s="13">
        <v>3200</v>
      </c>
      <c r="F52" s="13">
        <f t="shared" si="2"/>
        <v>48000</v>
      </c>
    </row>
    <row r="53" spans="1:6" x14ac:dyDescent="0.25">
      <c r="A53" s="25">
        <v>45</v>
      </c>
      <c r="B53" s="13" t="s">
        <v>321</v>
      </c>
      <c r="C53" s="13" t="s">
        <v>52</v>
      </c>
      <c r="D53" s="22">
        <v>30</v>
      </c>
      <c r="E53" s="13">
        <v>3200</v>
      </c>
      <c r="F53" s="13">
        <f t="shared" si="2"/>
        <v>96000</v>
      </c>
    </row>
    <row r="54" spans="1:6" x14ac:dyDescent="0.25">
      <c r="A54" s="25">
        <v>46</v>
      </c>
      <c r="B54" s="13" t="s">
        <v>322</v>
      </c>
      <c r="C54" s="13" t="s">
        <v>52</v>
      </c>
      <c r="D54" s="22">
        <v>4</v>
      </c>
      <c r="E54" s="13">
        <v>5000</v>
      </c>
      <c r="F54" s="13">
        <f t="shared" si="2"/>
        <v>20000</v>
      </c>
    </row>
    <row r="55" spans="1:6" x14ac:dyDescent="0.25">
      <c r="A55" s="25">
        <v>47</v>
      </c>
      <c r="B55" s="13" t="s">
        <v>323</v>
      </c>
      <c r="C55" s="13" t="s">
        <v>52</v>
      </c>
      <c r="D55" s="22">
        <v>1</v>
      </c>
      <c r="E55" s="13">
        <v>65000</v>
      </c>
      <c r="F55" s="13">
        <f t="shared" si="2"/>
        <v>65000</v>
      </c>
    </row>
    <row r="56" spans="1:6" x14ac:dyDescent="0.25">
      <c r="A56" s="25">
        <v>48</v>
      </c>
      <c r="B56" s="13" t="s">
        <v>324</v>
      </c>
      <c r="C56" s="13" t="s">
        <v>52</v>
      </c>
      <c r="D56" s="22">
        <v>1</v>
      </c>
      <c r="E56" s="13">
        <v>3500</v>
      </c>
      <c r="F56" s="13">
        <f t="shared" si="2"/>
        <v>3500</v>
      </c>
    </row>
    <row r="57" spans="1:6" x14ac:dyDescent="0.25">
      <c r="A57" s="25">
        <v>49</v>
      </c>
      <c r="B57" s="13" t="s">
        <v>325</v>
      </c>
      <c r="C57" s="13" t="s">
        <v>52</v>
      </c>
      <c r="D57" s="22">
        <v>1</v>
      </c>
      <c r="E57" s="13">
        <v>120000</v>
      </c>
      <c r="F57" s="13">
        <f t="shared" si="2"/>
        <v>120000</v>
      </c>
    </row>
    <row r="58" spans="1:6" x14ac:dyDescent="0.25">
      <c r="A58" s="6"/>
      <c r="B58" s="5" t="s">
        <v>326</v>
      </c>
      <c r="C58" s="7"/>
      <c r="D58" s="23"/>
      <c r="E58" s="7"/>
      <c r="F58" s="7"/>
    </row>
    <row r="59" spans="1:6" x14ac:dyDescent="0.25">
      <c r="A59" s="25">
        <v>50</v>
      </c>
      <c r="B59" s="7" t="s">
        <v>327</v>
      </c>
      <c r="C59" s="13" t="s">
        <v>52</v>
      </c>
      <c r="D59" s="22">
        <v>3</v>
      </c>
      <c r="E59" s="7">
        <v>3000</v>
      </c>
      <c r="F59" s="7">
        <f>D59*E59</f>
        <v>9000</v>
      </c>
    </row>
    <row r="60" spans="1:6" ht="60" customHeight="1" x14ac:dyDescent="0.25">
      <c r="A60" s="8">
        <v>51</v>
      </c>
      <c r="B60" s="9" t="s">
        <v>328</v>
      </c>
      <c r="C60" s="13" t="s">
        <v>52</v>
      </c>
      <c r="D60" s="22">
        <v>1</v>
      </c>
      <c r="E60" s="7">
        <v>65000</v>
      </c>
      <c r="F60" s="7">
        <f>D60*E60</f>
        <v>65000</v>
      </c>
    </row>
    <row r="61" spans="1:6" x14ac:dyDescent="0.25">
      <c r="A61" s="6"/>
      <c r="B61" s="5" t="s">
        <v>329</v>
      </c>
      <c r="C61" s="7"/>
      <c r="D61" s="23"/>
      <c r="E61" s="7"/>
      <c r="F61" s="7"/>
    </row>
    <row r="62" spans="1:6" x14ac:dyDescent="0.25">
      <c r="A62" s="25">
        <v>52</v>
      </c>
      <c r="B62" s="13" t="s">
        <v>330</v>
      </c>
      <c r="C62" s="13" t="s">
        <v>309</v>
      </c>
      <c r="D62" s="22">
        <v>1</v>
      </c>
      <c r="E62" s="13">
        <v>135000</v>
      </c>
      <c r="F62" s="13">
        <f>D62*E62</f>
        <v>135000</v>
      </c>
    </row>
    <row r="63" spans="1:6" x14ac:dyDescent="0.25">
      <c r="A63" s="25">
        <v>53</v>
      </c>
      <c r="B63" s="13" t="s">
        <v>331</v>
      </c>
      <c r="C63" s="13" t="s">
        <v>309</v>
      </c>
      <c r="D63" s="22">
        <v>1</v>
      </c>
      <c r="E63" s="13">
        <v>70000</v>
      </c>
      <c r="F63" s="13">
        <f>D63*E63</f>
        <v>70000</v>
      </c>
    </row>
    <row r="64" spans="1:6" x14ac:dyDescent="0.25">
      <c r="A64" s="25">
        <v>54</v>
      </c>
      <c r="B64" s="13" t="s">
        <v>332</v>
      </c>
      <c r="C64" s="13" t="s">
        <v>52</v>
      </c>
      <c r="D64" s="22">
        <v>2</v>
      </c>
      <c r="E64" s="13">
        <v>25000</v>
      </c>
      <c r="F64" s="13">
        <f>D64*E64</f>
        <v>50000</v>
      </c>
    </row>
    <row r="65" spans="1:6" x14ac:dyDescent="0.25">
      <c r="A65" s="6"/>
      <c r="B65" s="5" t="s">
        <v>333</v>
      </c>
      <c r="C65" s="7"/>
      <c r="D65" s="23"/>
      <c r="E65" s="7"/>
      <c r="F65" s="7"/>
    </row>
    <row r="66" spans="1:6" x14ac:dyDescent="0.25">
      <c r="A66" s="25">
        <v>55</v>
      </c>
      <c r="B66" s="13" t="s">
        <v>334</v>
      </c>
      <c r="C66" s="13" t="s">
        <v>309</v>
      </c>
      <c r="D66" s="22">
        <v>1</v>
      </c>
      <c r="E66" s="13">
        <v>26000</v>
      </c>
      <c r="F66" s="13">
        <f t="shared" ref="F66:F73" si="3">D66*E66</f>
        <v>26000</v>
      </c>
    </row>
    <row r="67" spans="1:6" x14ac:dyDescent="0.25">
      <c r="A67" s="25">
        <v>56</v>
      </c>
      <c r="B67" s="13" t="s">
        <v>335</v>
      </c>
      <c r="C67" s="13" t="s">
        <v>52</v>
      </c>
      <c r="D67" s="22">
        <v>2</v>
      </c>
      <c r="E67" s="13">
        <v>2000</v>
      </c>
      <c r="F67" s="13">
        <f t="shared" si="3"/>
        <v>4000</v>
      </c>
    </row>
    <row r="68" spans="1:6" x14ac:dyDescent="0.25">
      <c r="A68" s="25">
        <v>57</v>
      </c>
      <c r="B68" s="13" t="s">
        <v>336</v>
      </c>
      <c r="C68" s="13" t="s">
        <v>52</v>
      </c>
      <c r="D68" s="22">
        <v>15</v>
      </c>
      <c r="E68" s="13">
        <v>5500</v>
      </c>
      <c r="F68" s="13">
        <f t="shared" si="3"/>
        <v>82500</v>
      </c>
    </row>
    <row r="69" spans="1:6" x14ac:dyDescent="0.25">
      <c r="A69" s="25">
        <v>58</v>
      </c>
      <c r="B69" s="13" t="s">
        <v>337</v>
      </c>
      <c r="C69" s="13" t="s">
        <v>52</v>
      </c>
      <c r="D69" s="22">
        <v>1</v>
      </c>
      <c r="E69" s="13">
        <v>120000</v>
      </c>
      <c r="F69" s="13">
        <f t="shared" si="3"/>
        <v>120000</v>
      </c>
    </row>
    <row r="70" spans="1:6" x14ac:dyDescent="0.25">
      <c r="A70" s="25">
        <v>59</v>
      </c>
      <c r="B70" s="13" t="s">
        <v>338</v>
      </c>
      <c r="C70" s="13" t="s">
        <v>52</v>
      </c>
      <c r="D70" s="22">
        <v>1</v>
      </c>
      <c r="E70" s="13">
        <v>2000</v>
      </c>
      <c r="F70" s="13">
        <f t="shared" si="3"/>
        <v>2000</v>
      </c>
    </row>
    <row r="71" spans="1:6" x14ac:dyDescent="0.25">
      <c r="A71" s="25">
        <v>60</v>
      </c>
      <c r="B71" s="13" t="s">
        <v>339</v>
      </c>
      <c r="C71" s="13" t="s">
        <v>52</v>
      </c>
      <c r="D71" s="22">
        <v>2</v>
      </c>
      <c r="E71" s="13">
        <v>500</v>
      </c>
      <c r="F71" s="13">
        <f t="shared" si="3"/>
        <v>1000</v>
      </c>
    </row>
    <row r="72" spans="1:6" x14ac:dyDescent="0.25">
      <c r="A72" s="25">
        <v>61</v>
      </c>
      <c r="B72" s="13" t="s">
        <v>340</v>
      </c>
      <c r="C72" s="13" t="s">
        <v>52</v>
      </c>
      <c r="D72" s="22">
        <v>1</v>
      </c>
      <c r="E72" s="13">
        <v>500</v>
      </c>
      <c r="F72" s="13">
        <f t="shared" si="3"/>
        <v>500</v>
      </c>
    </row>
    <row r="73" spans="1:6" x14ac:dyDescent="0.25">
      <c r="A73" s="25">
        <v>62</v>
      </c>
      <c r="B73" s="13" t="s">
        <v>341</v>
      </c>
      <c r="C73" s="13" t="s">
        <v>52</v>
      </c>
      <c r="D73" s="22">
        <v>1</v>
      </c>
      <c r="E73" s="13">
        <v>6000</v>
      </c>
      <c r="F73" s="13">
        <f t="shared" si="3"/>
        <v>6000</v>
      </c>
    </row>
    <row r="74" spans="1:6" x14ac:dyDescent="0.25">
      <c r="A74" s="6"/>
      <c r="B74" s="5" t="s">
        <v>342</v>
      </c>
      <c r="C74" s="7"/>
      <c r="D74" s="23"/>
      <c r="E74" s="7"/>
      <c r="F74" s="7"/>
    </row>
    <row r="75" spans="1:6" x14ac:dyDescent="0.25">
      <c r="A75" s="25">
        <v>63</v>
      </c>
      <c r="B75" s="13" t="s">
        <v>343</v>
      </c>
      <c r="C75" s="13" t="s">
        <v>52</v>
      </c>
      <c r="D75" s="22">
        <v>15</v>
      </c>
      <c r="E75" s="13">
        <v>1500</v>
      </c>
      <c r="F75" s="13">
        <f>D75*E75</f>
        <v>22500</v>
      </c>
    </row>
    <row r="76" spans="1:6" x14ac:dyDescent="0.25">
      <c r="A76" s="25">
        <v>64</v>
      </c>
      <c r="B76" s="13" t="s">
        <v>344</v>
      </c>
      <c r="C76" s="13" t="s">
        <v>52</v>
      </c>
      <c r="D76" s="22">
        <v>400</v>
      </c>
      <c r="E76" s="13">
        <v>150</v>
      </c>
      <c r="F76" s="13">
        <f>D76*E76</f>
        <v>60000</v>
      </c>
    </row>
    <row r="77" spans="1:6" x14ac:dyDescent="0.25">
      <c r="A77" s="25">
        <v>65</v>
      </c>
      <c r="B77" s="13" t="s">
        <v>345</v>
      </c>
      <c r="C77" s="13" t="s">
        <v>52</v>
      </c>
      <c r="D77" s="22">
        <v>1000</v>
      </c>
      <c r="E77" s="13">
        <v>40</v>
      </c>
      <c r="F77" s="13">
        <f>D77*E77</f>
        <v>40000</v>
      </c>
    </row>
    <row r="78" spans="1:6" x14ac:dyDescent="0.25">
      <c r="A78" s="25">
        <v>66</v>
      </c>
      <c r="B78" s="13" t="s">
        <v>346</v>
      </c>
      <c r="C78" s="13" t="s">
        <v>52</v>
      </c>
      <c r="D78" s="22">
        <v>1000</v>
      </c>
      <c r="E78" s="13">
        <v>20</v>
      </c>
      <c r="F78" s="13">
        <f>D78*E78</f>
        <v>20000</v>
      </c>
    </row>
    <row r="79" spans="1:6" x14ac:dyDescent="0.25">
      <c r="A79" s="25">
        <v>67</v>
      </c>
      <c r="B79" s="13" t="s">
        <v>347</v>
      </c>
      <c r="C79" s="13" t="s">
        <v>52</v>
      </c>
      <c r="D79" s="22">
        <v>50</v>
      </c>
      <c r="E79" s="13">
        <v>20</v>
      </c>
      <c r="F79" s="13">
        <f>D79*E79</f>
        <v>1000</v>
      </c>
    </row>
    <row r="80" spans="1:6" x14ac:dyDescent="0.25">
      <c r="A80" s="6"/>
      <c r="B80" s="5" t="s">
        <v>348</v>
      </c>
      <c r="C80" s="7"/>
      <c r="D80" s="23"/>
      <c r="E80" s="7"/>
      <c r="F80" s="7"/>
    </row>
    <row r="81" spans="1:6" x14ac:dyDescent="0.25">
      <c r="A81" s="25">
        <v>68</v>
      </c>
      <c r="B81" s="13" t="s">
        <v>349</v>
      </c>
      <c r="C81" s="13" t="s">
        <v>52</v>
      </c>
      <c r="D81" s="22">
        <v>1</v>
      </c>
      <c r="E81" s="13">
        <v>4500</v>
      </c>
      <c r="F81" s="13">
        <f t="shared" ref="F81:F124" si="4">D81*E81</f>
        <v>4500</v>
      </c>
    </row>
    <row r="82" spans="1:6" x14ac:dyDescent="0.25">
      <c r="A82" s="25">
        <v>69</v>
      </c>
      <c r="B82" s="13" t="s">
        <v>350</v>
      </c>
      <c r="C82" s="13" t="s">
        <v>52</v>
      </c>
      <c r="D82" s="22">
        <v>4</v>
      </c>
      <c r="E82" s="13">
        <v>1000</v>
      </c>
      <c r="F82" s="13">
        <f t="shared" si="4"/>
        <v>4000</v>
      </c>
    </row>
    <row r="83" spans="1:6" x14ac:dyDescent="0.25">
      <c r="A83" s="25">
        <v>70</v>
      </c>
      <c r="B83" s="13" t="s">
        <v>351</v>
      </c>
      <c r="C83" s="13" t="s">
        <v>52</v>
      </c>
      <c r="D83" s="22">
        <v>6</v>
      </c>
      <c r="E83" s="13">
        <v>1500</v>
      </c>
      <c r="F83" s="13">
        <f t="shared" si="4"/>
        <v>9000</v>
      </c>
    </row>
    <row r="84" spans="1:6" x14ac:dyDescent="0.25">
      <c r="A84" s="25">
        <v>71</v>
      </c>
      <c r="B84" s="13" t="s">
        <v>352</v>
      </c>
      <c r="C84" s="13" t="s">
        <v>52</v>
      </c>
      <c r="D84" s="22">
        <v>48</v>
      </c>
      <c r="E84" s="13">
        <v>150</v>
      </c>
      <c r="F84" s="13">
        <f t="shared" si="4"/>
        <v>7200</v>
      </c>
    </row>
    <row r="85" spans="1:6" x14ac:dyDescent="0.25">
      <c r="A85" s="25">
        <v>72</v>
      </c>
      <c r="B85" s="13" t="s">
        <v>353</v>
      </c>
      <c r="C85" s="13" t="s">
        <v>52</v>
      </c>
      <c r="D85" s="22">
        <v>2</v>
      </c>
      <c r="E85" s="13">
        <v>2000</v>
      </c>
      <c r="F85" s="13">
        <f t="shared" si="4"/>
        <v>4000</v>
      </c>
    </row>
    <row r="86" spans="1:6" x14ac:dyDescent="0.25">
      <c r="A86" s="25">
        <v>73</v>
      </c>
      <c r="B86" s="13" t="s">
        <v>354</v>
      </c>
      <c r="C86" s="13" t="s">
        <v>355</v>
      </c>
      <c r="D86" s="22">
        <v>20</v>
      </c>
      <c r="E86" s="13">
        <v>800</v>
      </c>
      <c r="F86" s="13">
        <f t="shared" si="4"/>
        <v>16000</v>
      </c>
    </row>
    <row r="87" spans="1:6" x14ac:dyDescent="0.25">
      <c r="A87" s="25">
        <v>74</v>
      </c>
      <c r="B87" s="13" t="s">
        <v>356</v>
      </c>
      <c r="C87" s="13" t="s">
        <v>52</v>
      </c>
      <c r="D87" s="22">
        <v>4</v>
      </c>
      <c r="E87" s="13">
        <v>4000</v>
      </c>
      <c r="F87" s="13">
        <f t="shared" si="4"/>
        <v>16000</v>
      </c>
    </row>
    <row r="88" spans="1:6" x14ac:dyDescent="0.25">
      <c r="A88" s="25">
        <v>75</v>
      </c>
      <c r="B88" s="13" t="s">
        <v>357</v>
      </c>
      <c r="C88" s="13" t="s">
        <v>52</v>
      </c>
      <c r="D88" s="22">
        <v>2</v>
      </c>
      <c r="E88" s="13">
        <v>2000</v>
      </c>
      <c r="F88" s="13">
        <f t="shared" si="4"/>
        <v>4000</v>
      </c>
    </row>
    <row r="89" spans="1:6" x14ac:dyDescent="0.25">
      <c r="A89" s="25">
        <v>76</v>
      </c>
      <c r="B89" s="13" t="s">
        <v>358</v>
      </c>
      <c r="C89" s="13" t="s">
        <v>52</v>
      </c>
      <c r="D89" s="22">
        <v>2</v>
      </c>
      <c r="E89" s="13">
        <v>2000</v>
      </c>
      <c r="F89" s="13">
        <f t="shared" si="4"/>
        <v>4000</v>
      </c>
    </row>
    <row r="90" spans="1:6" x14ac:dyDescent="0.25">
      <c r="A90" s="25">
        <v>77</v>
      </c>
      <c r="B90" s="13" t="s">
        <v>359</v>
      </c>
      <c r="C90" s="13" t="s">
        <v>52</v>
      </c>
      <c r="D90" s="22">
        <v>16</v>
      </c>
      <c r="E90" s="13">
        <v>1500</v>
      </c>
      <c r="F90" s="13">
        <f t="shared" si="4"/>
        <v>24000</v>
      </c>
    </row>
    <row r="91" spans="1:6" x14ac:dyDescent="0.25">
      <c r="A91" s="25">
        <v>78</v>
      </c>
      <c r="B91" s="13" t="s">
        <v>360</v>
      </c>
      <c r="C91" s="13" t="s">
        <v>52</v>
      </c>
      <c r="D91" s="22">
        <v>4</v>
      </c>
      <c r="E91" s="13">
        <v>2500</v>
      </c>
      <c r="F91" s="13">
        <f t="shared" si="4"/>
        <v>10000</v>
      </c>
    </row>
    <row r="92" spans="1:6" x14ac:dyDescent="0.25">
      <c r="A92" s="25">
        <v>79</v>
      </c>
      <c r="B92" s="13" t="s">
        <v>361</v>
      </c>
      <c r="C92" s="13" t="s">
        <v>52</v>
      </c>
      <c r="D92" s="22">
        <v>2</v>
      </c>
      <c r="E92" s="13">
        <v>12000</v>
      </c>
      <c r="F92" s="13">
        <f t="shared" si="4"/>
        <v>24000</v>
      </c>
    </row>
    <row r="93" spans="1:6" x14ac:dyDescent="0.25">
      <c r="A93" s="25">
        <v>80</v>
      </c>
      <c r="B93" s="13" t="s">
        <v>362</v>
      </c>
      <c r="C93" s="13" t="s">
        <v>52</v>
      </c>
      <c r="D93" s="22">
        <v>4</v>
      </c>
      <c r="E93" s="13">
        <v>800</v>
      </c>
      <c r="F93" s="13">
        <f t="shared" si="4"/>
        <v>3200</v>
      </c>
    </row>
    <row r="94" spans="1:6" x14ac:dyDescent="0.25">
      <c r="A94" s="25">
        <v>81</v>
      </c>
      <c r="B94" s="13" t="s">
        <v>363</v>
      </c>
      <c r="C94" s="13" t="s">
        <v>52</v>
      </c>
      <c r="D94" s="22">
        <v>6</v>
      </c>
      <c r="E94" s="13">
        <v>1800</v>
      </c>
      <c r="F94" s="13">
        <f t="shared" si="4"/>
        <v>10800</v>
      </c>
    </row>
    <row r="95" spans="1:6" x14ac:dyDescent="0.25">
      <c r="A95" s="25">
        <v>82</v>
      </c>
      <c r="B95" s="13" t="s">
        <v>364</v>
      </c>
      <c r="C95" s="13" t="s">
        <v>52</v>
      </c>
      <c r="D95" s="22">
        <v>6</v>
      </c>
      <c r="E95" s="13">
        <v>2500</v>
      </c>
      <c r="F95" s="13">
        <f t="shared" si="4"/>
        <v>15000</v>
      </c>
    </row>
    <row r="96" spans="1:6" x14ac:dyDescent="0.25">
      <c r="A96" s="25">
        <v>83</v>
      </c>
      <c r="B96" s="13" t="s">
        <v>365</v>
      </c>
      <c r="C96" s="13" t="s">
        <v>52</v>
      </c>
      <c r="D96" s="22">
        <v>4</v>
      </c>
      <c r="E96" s="13">
        <v>1200</v>
      </c>
      <c r="F96" s="13">
        <f t="shared" si="4"/>
        <v>4800</v>
      </c>
    </row>
    <row r="97" spans="1:6" x14ac:dyDescent="0.25">
      <c r="A97" s="25">
        <v>84</v>
      </c>
      <c r="B97" s="13" t="s">
        <v>365</v>
      </c>
      <c r="C97" s="13" t="s">
        <v>52</v>
      </c>
      <c r="D97" s="22">
        <v>6</v>
      </c>
      <c r="E97" s="13">
        <v>1200</v>
      </c>
      <c r="F97" s="13">
        <f t="shared" si="4"/>
        <v>7200</v>
      </c>
    </row>
    <row r="98" spans="1:6" x14ac:dyDescent="0.25">
      <c r="A98" s="25">
        <v>85</v>
      </c>
      <c r="B98" s="13" t="s">
        <v>366</v>
      </c>
      <c r="C98" s="13" t="s">
        <v>52</v>
      </c>
      <c r="D98" s="22">
        <v>4</v>
      </c>
      <c r="E98" s="13">
        <v>500</v>
      </c>
      <c r="F98" s="13">
        <f t="shared" si="4"/>
        <v>2000</v>
      </c>
    </row>
    <row r="99" spans="1:6" x14ac:dyDescent="0.25">
      <c r="A99" s="25">
        <v>86</v>
      </c>
      <c r="B99" s="13" t="s">
        <v>367</v>
      </c>
      <c r="C99" s="13" t="s">
        <v>52</v>
      </c>
      <c r="D99" s="22">
        <v>20</v>
      </c>
      <c r="E99" s="13">
        <v>1500</v>
      </c>
      <c r="F99" s="13">
        <f t="shared" si="4"/>
        <v>30000</v>
      </c>
    </row>
    <row r="100" spans="1:6" x14ac:dyDescent="0.25">
      <c r="A100" s="25">
        <v>87</v>
      </c>
      <c r="B100" s="13" t="s">
        <v>368</v>
      </c>
      <c r="C100" s="13" t="s">
        <v>52</v>
      </c>
      <c r="D100" s="22">
        <v>6</v>
      </c>
      <c r="E100" s="13">
        <v>350</v>
      </c>
      <c r="F100" s="13">
        <f t="shared" si="4"/>
        <v>2100</v>
      </c>
    </row>
    <row r="101" spans="1:6" x14ac:dyDescent="0.25">
      <c r="A101" s="25">
        <v>88</v>
      </c>
      <c r="B101" s="13" t="s">
        <v>369</v>
      </c>
      <c r="C101" s="13" t="s">
        <v>52</v>
      </c>
      <c r="D101" s="22">
        <v>6</v>
      </c>
      <c r="E101" s="13">
        <v>250</v>
      </c>
      <c r="F101" s="13">
        <f t="shared" si="4"/>
        <v>1500</v>
      </c>
    </row>
    <row r="102" spans="1:6" x14ac:dyDescent="0.25">
      <c r="A102" s="25">
        <v>89</v>
      </c>
      <c r="B102" s="13" t="s">
        <v>370</v>
      </c>
      <c r="C102" s="13" t="s">
        <v>52</v>
      </c>
      <c r="D102" s="22">
        <v>4</v>
      </c>
      <c r="E102" s="13">
        <v>300</v>
      </c>
      <c r="F102" s="13">
        <f t="shared" si="4"/>
        <v>1200</v>
      </c>
    </row>
    <row r="103" spans="1:6" x14ac:dyDescent="0.25">
      <c r="A103" s="25">
        <v>90</v>
      </c>
      <c r="B103" s="13" t="s">
        <v>371</v>
      </c>
      <c r="C103" s="13" t="s">
        <v>309</v>
      </c>
      <c r="D103" s="22">
        <v>1</v>
      </c>
      <c r="E103" s="13">
        <v>6000</v>
      </c>
      <c r="F103" s="13">
        <f t="shared" si="4"/>
        <v>6000</v>
      </c>
    </row>
    <row r="104" spans="1:6" x14ac:dyDescent="0.25">
      <c r="A104" s="25">
        <v>91</v>
      </c>
      <c r="B104" s="13" t="s">
        <v>372</v>
      </c>
      <c r="C104" s="13" t="s">
        <v>52</v>
      </c>
      <c r="D104" s="22">
        <v>10</v>
      </c>
      <c r="E104" s="13">
        <v>1000</v>
      </c>
      <c r="F104" s="13">
        <f t="shared" si="4"/>
        <v>10000</v>
      </c>
    </row>
    <row r="105" spans="1:6" x14ac:dyDescent="0.25">
      <c r="A105" s="25">
        <v>92</v>
      </c>
      <c r="B105" s="13" t="s">
        <v>373</v>
      </c>
      <c r="C105" s="13" t="s">
        <v>52</v>
      </c>
      <c r="D105" s="22">
        <v>50</v>
      </c>
      <c r="E105" s="13">
        <v>300</v>
      </c>
      <c r="F105" s="13">
        <f t="shared" si="4"/>
        <v>15000</v>
      </c>
    </row>
    <row r="106" spans="1:6" x14ac:dyDescent="0.25">
      <c r="A106" s="25">
        <v>93</v>
      </c>
      <c r="B106" s="13" t="s">
        <v>374</v>
      </c>
      <c r="C106" s="13" t="s">
        <v>52</v>
      </c>
      <c r="D106" s="22">
        <v>1</v>
      </c>
      <c r="E106" s="13">
        <v>18000</v>
      </c>
      <c r="F106" s="13">
        <f t="shared" si="4"/>
        <v>18000</v>
      </c>
    </row>
    <row r="107" spans="1:6" x14ac:dyDescent="0.25">
      <c r="A107" s="25">
        <v>94</v>
      </c>
      <c r="B107" s="13" t="s">
        <v>375</v>
      </c>
      <c r="C107" s="13" t="s">
        <v>52</v>
      </c>
      <c r="D107" s="22">
        <v>1</v>
      </c>
      <c r="E107" s="13">
        <v>25000</v>
      </c>
      <c r="F107" s="13">
        <f t="shared" si="4"/>
        <v>25000</v>
      </c>
    </row>
    <row r="108" spans="1:6" x14ac:dyDescent="0.25">
      <c r="A108" s="25">
        <v>95</v>
      </c>
      <c r="B108" s="13" t="s">
        <v>376</v>
      </c>
      <c r="C108" s="13" t="s">
        <v>52</v>
      </c>
      <c r="D108" s="22">
        <v>1</v>
      </c>
      <c r="E108" s="13">
        <v>90000</v>
      </c>
      <c r="F108" s="13">
        <f t="shared" si="4"/>
        <v>90000</v>
      </c>
    </row>
    <row r="109" spans="1:6" x14ac:dyDescent="0.25">
      <c r="A109" s="25">
        <v>96</v>
      </c>
      <c r="B109" s="13" t="s">
        <v>377</v>
      </c>
      <c r="C109" s="13" t="s">
        <v>52</v>
      </c>
      <c r="D109" s="22">
        <v>1</v>
      </c>
      <c r="E109" s="13">
        <v>45000</v>
      </c>
      <c r="F109" s="13">
        <f t="shared" si="4"/>
        <v>45000</v>
      </c>
    </row>
    <row r="110" spans="1:6" x14ac:dyDescent="0.25">
      <c r="A110" s="25">
        <v>97</v>
      </c>
      <c r="B110" s="13" t="s">
        <v>378</v>
      </c>
      <c r="C110" s="13" t="s">
        <v>52</v>
      </c>
      <c r="D110" s="22">
        <v>1</v>
      </c>
      <c r="E110" s="13">
        <v>7000</v>
      </c>
      <c r="F110" s="13">
        <f t="shared" si="4"/>
        <v>7000</v>
      </c>
    </row>
    <row r="111" spans="1:6" x14ac:dyDescent="0.25">
      <c r="A111" s="25">
        <v>98</v>
      </c>
      <c r="B111" s="13" t="s">
        <v>379</v>
      </c>
      <c r="C111" s="13" t="s">
        <v>52</v>
      </c>
      <c r="D111" s="22">
        <v>5</v>
      </c>
      <c r="E111" s="13">
        <v>2000</v>
      </c>
      <c r="F111" s="13">
        <f t="shared" si="4"/>
        <v>10000</v>
      </c>
    </row>
    <row r="112" spans="1:6" x14ac:dyDescent="0.25">
      <c r="A112" s="25">
        <v>99</v>
      </c>
      <c r="B112" s="13" t="s">
        <v>380</v>
      </c>
      <c r="C112" s="13" t="s">
        <v>52</v>
      </c>
      <c r="D112" s="22">
        <v>1</v>
      </c>
      <c r="E112" s="13">
        <v>4000</v>
      </c>
      <c r="F112" s="13">
        <f t="shared" si="4"/>
        <v>4000</v>
      </c>
    </row>
    <row r="113" spans="1:6" x14ac:dyDescent="0.25">
      <c r="A113" s="25">
        <v>100</v>
      </c>
      <c r="B113" s="13" t="s">
        <v>381</v>
      </c>
      <c r="C113" s="13" t="s">
        <v>52</v>
      </c>
      <c r="D113" s="22">
        <v>1</v>
      </c>
      <c r="E113" s="13">
        <v>5000</v>
      </c>
      <c r="F113" s="13">
        <f t="shared" si="4"/>
        <v>5000</v>
      </c>
    </row>
    <row r="114" spans="1:6" x14ac:dyDescent="0.25">
      <c r="A114" s="25">
        <v>101</v>
      </c>
      <c r="B114" s="13" t="s">
        <v>382</v>
      </c>
      <c r="C114" s="13" t="s">
        <v>52</v>
      </c>
      <c r="D114" s="22">
        <v>2</v>
      </c>
      <c r="E114" s="13">
        <v>2000</v>
      </c>
      <c r="F114" s="13">
        <f t="shared" si="4"/>
        <v>4000</v>
      </c>
    </row>
    <row r="115" spans="1:6" x14ac:dyDescent="0.25">
      <c r="A115" s="25">
        <v>102</v>
      </c>
      <c r="B115" s="13" t="s">
        <v>383</v>
      </c>
      <c r="C115" s="13" t="s">
        <v>52</v>
      </c>
      <c r="D115" s="22">
        <v>6</v>
      </c>
      <c r="E115" s="13">
        <v>9000</v>
      </c>
      <c r="F115" s="13">
        <f t="shared" si="4"/>
        <v>54000</v>
      </c>
    </row>
    <row r="116" spans="1:6" x14ac:dyDescent="0.25">
      <c r="A116" s="25">
        <v>103</v>
      </c>
      <c r="B116" s="13" t="s">
        <v>384</v>
      </c>
      <c r="C116" s="13" t="s">
        <v>52</v>
      </c>
      <c r="D116" s="22">
        <v>2</v>
      </c>
      <c r="E116" s="13">
        <v>6000</v>
      </c>
      <c r="F116" s="13">
        <f t="shared" si="4"/>
        <v>12000</v>
      </c>
    </row>
    <row r="117" spans="1:6" x14ac:dyDescent="0.25">
      <c r="A117" s="25">
        <v>104</v>
      </c>
      <c r="B117" s="13" t="s">
        <v>385</v>
      </c>
      <c r="C117" s="13" t="s">
        <v>52</v>
      </c>
      <c r="D117" s="22">
        <v>10</v>
      </c>
      <c r="E117" s="13">
        <v>500</v>
      </c>
      <c r="F117" s="13">
        <f t="shared" si="4"/>
        <v>5000</v>
      </c>
    </row>
    <row r="118" spans="1:6" x14ac:dyDescent="0.25">
      <c r="A118" s="25">
        <v>105</v>
      </c>
      <c r="B118" s="13" t="s">
        <v>386</v>
      </c>
      <c r="C118" s="13" t="s">
        <v>52</v>
      </c>
      <c r="D118" s="22">
        <v>2</v>
      </c>
      <c r="E118" s="13">
        <v>250</v>
      </c>
      <c r="F118" s="13">
        <f t="shared" si="4"/>
        <v>500</v>
      </c>
    </row>
    <row r="119" spans="1:6" x14ac:dyDescent="0.25">
      <c r="A119" s="25">
        <v>106</v>
      </c>
      <c r="B119" s="13" t="s">
        <v>387</v>
      </c>
      <c r="C119" s="13" t="s">
        <v>52</v>
      </c>
      <c r="D119" s="22">
        <v>4</v>
      </c>
      <c r="E119" s="13">
        <v>500</v>
      </c>
      <c r="F119" s="13">
        <f t="shared" si="4"/>
        <v>2000</v>
      </c>
    </row>
    <row r="120" spans="1:6" x14ac:dyDescent="0.25">
      <c r="A120" s="25">
        <v>107</v>
      </c>
      <c r="B120" s="13" t="s">
        <v>388</v>
      </c>
      <c r="C120" s="13" t="s">
        <v>52</v>
      </c>
      <c r="D120" s="22">
        <v>2</v>
      </c>
      <c r="E120" s="13">
        <v>1000</v>
      </c>
      <c r="F120" s="13">
        <f t="shared" si="4"/>
        <v>2000</v>
      </c>
    </row>
    <row r="121" spans="1:6" x14ac:dyDescent="0.25">
      <c r="A121" s="25">
        <v>108</v>
      </c>
      <c r="B121" s="13" t="s">
        <v>389</v>
      </c>
      <c r="C121" s="13" t="s">
        <v>52</v>
      </c>
      <c r="D121" s="22">
        <v>2</v>
      </c>
      <c r="E121" s="13">
        <v>2500</v>
      </c>
      <c r="F121" s="13">
        <f t="shared" si="4"/>
        <v>5000</v>
      </c>
    </row>
    <row r="122" spans="1:6" x14ac:dyDescent="0.25">
      <c r="A122" s="25">
        <v>109</v>
      </c>
      <c r="B122" s="13" t="s">
        <v>390</v>
      </c>
      <c r="C122" s="13" t="s">
        <v>52</v>
      </c>
      <c r="D122" s="22">
        <v>1</v>
      </c>
      <c r="E122" s="13">
        <v>7500</v>
      </c>
      <c r="F122" s="13">
        <f t="shared" si="4"/>
        <v>7500</v>
      </c>
    </row>
    <row r="123" spans="1:6" x14ac:dyDescent="0.25">
      <c r="A123" s="25">
        <v>110</v>
      </c>
      <c r="B123" s="13" t="s">
        <v>391</v>
      </c>
      <c r="C123" s="13" t="s">
        <v>52</v>
      </c>
      <c r="D123" s="22">
        <v>1</v>
      </c>
      <c r="E123" s="13">
        <v>3000</v>
      </c>
      <c r="F123" s="13">
        <f t="shared" si="4"/>
        <v>3000</v>
      </c>
    </row>
    <row r="124" spans="1:6" x14ac:dyDescent="0.25">
      <c r="A124" s="25">
        <v>111</v>
      </c>
      <c r="B124" s="13" t="s">
        <v>392</v>
      </c>
      <c r="C124" s="13" t="s">
        <v>52</v>
      </c>
      <c r="D124" s="22">
        <v>1</v>
      </c>
      <c r="E124" s="13">
        <v>3500</v>
      </c>
      <c r="F124" s="13">
        <f t="shared" si="4"/>
        <v>3500</v>
      </c>
    </row>
    <row r="125" spans="1:6" x14ac:dyDescent="0.25">
      <c r="A125" s="6"/>
      <c r="B125" s="5" t="s">
        <v>393</v>
      </c>
      <c r="C125" s="7"/>
      <c r="D125" s="23"/>
      <c r="E125" s="7"/>
      <c r="F125" s="7"/>
    </row>
    <row r="126" spans="1:6" ht="30" customHeight="1" x14ac:dyDescent="0.25">
      <c r="A126" s="8">
        <v>112</v>
      </c>
      <c r="B126" s="13" t="s">
        <v>394</v>
      </c>
      <c r="C126" s="13" t="s">
        <v>52</v>
      </c>
      <c r="D126" s="22">
        <v>1</v>
      </c>
      <c r="E126" s="7">
        <v>30000</v>
      </c>
      <c r="F126" s="7">
        <f>D126*E126</f>
        <v>30000</v>
      </c>
    </row>
    <row r="127" spans="1:6" x14ac:dyDescent="0.25">
      <c r="A127" s="8">
        <v>113</v>
      </c>
      <c r="B127" s="13" t="s">
        <v>395</v>
      </c>
      <c r="C127" s="13" t="s">
        <v>52</v>
      </c>
      <c r="D127" s="22">
        <v>1</v>
      </c>
      <c r="E127" s="7">
        <v>30000</v>
      </c>
      <c r="F127" s="7">
        <f>D127*E127</f>
        <v>30000</v>
      </c>
    </row>
    <row r="128" spans="1:6" ht="30" customHeight="1" x14ac:dyDescent="0.25">
      <c r="A128" s="8">
        <v>114</v>
      </c>
      <c r="B128" s="13" t="s">
        <v>396</v>
      </c>
      <c r="C128" s="13" t="s">
        <v>52</v>
      </c>
      <c r="D128" s="22">
        <v>1</v>
      </c>
      <c r="E128" s="7">
        <v>30000</v>
      </c>
      <c r="F128" s="7">
        <f>D128*E128</f>
        <v>30000</v>
      </c>
    </row>
    <row r="129" spans="1:6" x14ac:dyDescent="0.25">
      <c r="A129" s="8">
        <v>115</v>
      </c>
      <c r="B129" s="13" t="s">
        <v>397</v>
      </c>
      <c r="C129" s="13" t="s">
        <v>52</v>
      </c>
      <c r="D129" s="22">
        <v>1</v>
      </c>
      <c r="E129" s="7">
        <v>25000</v>
      </c>
      <c r="F129" s="7">
        <f>D129*E129</f>
        <v>25000</v>
      </c>
    </row>
    <row r="130" spans="1:6" x14ac:dyDescent="0.25">
      <c r="A130" s="8">
        <v>116</v>
      </c>
      <c r="B130" s="13" t="s">
        <v>398</v>
      </c>
      <c r="C130" s="13" t="s">
        <v>52</v>
      </c>
      <c r="D130" s="22">
        <v>1</v>
      </c>
      <c r="E130" s="7">
        <v>25000</v>
      </c>
      <c r="F130" s="7">
        <f>D130*E130</f>
        <v>25000</v>
      </c>
    </row>
    <row r="131" spans="1:6" x14ac:dyDescent="0.25">
      <c r="A131" s="6"/>
      <c r="B131" s="5" t="s">
        <v>399</v>
      </c>
      <c r="C131" s="7"/>
      <c r="D131" s="23"/>
      <c r="E131" s="7"/>
      <c r="F131" s="7"/>
    </row>
    <row r="132" spans="1:6" x14ac:dyDescent="0.25">
      <c r="A132" s="25">
        <v>117</v>
      </c>
      <c r="B132" s="13" t="s">
        <v>400</v>
      </c>
      <c r="C132" s="13" t="s">
        <v>52</v>
      </c>
      <c r="D132" s="22">
        <v>2</v>
      </c>
      <c r="E132" s="13">
        <v>2000</v>
      </c>
      <c r="F132" s="13">
        <f t="shared" ref="F132:F139" si="5">D132*E132</f>
        <v>4000</v>
      </c>
    </row>
    <row r="133" spans="1:6" x14ac:dyDescent="0.25">
      <c r="A133" s="25">
        <v>118</v>
      </c>
      <c r="B133" s="13" t="s">
        <v>401</v>
      </c>
      <c r="C133" s="13" t="s">
        <v>52</v>
      </c>
      <c r="D133" s="22">
        <v>3</v>
      </c>
      <c r="E133" s="13">
        <v>1000</v>
      </c>
      <c r="F133" s="13">
        <f t="shared" si="5"/>
        <v>3000</v>
      </c>
    </row>
    <row r="134" spans="1:6" x14ac:dyDescent="0.25">
      <c r="A134" s="25">
        <v>119</v>
      </c>
      <c r="B134" s="13" t="s">
        <v>402</v>
      </c>
      <c r="C134" s="13" t="s">
        <v>52</v>
      </c>
      <c r="D134" s="22">
        <v>2</v>
      </c>
      <c r="E134" s="13">
        <v>500</v>
      </c>
      <c r="F134" s="13">
        <f t="shared" si="5"/>
        <v>1000</v>
      </c>
    </row>
    <row r="135" spans="1:6" x14ac:dyDescent="0.25">
      <c r="A135" s="25">
        <v>120</v>
      </c>
      <c r="B135" s="13" t="s">
        <v>403</v>
      </c>
      <c r="C135" s="13" t="s">
        <v>52</v>
      </c>
      <c r="D135" s="22">
        <v>2</v>
      </c>
      <c r="E135" s="13">
        <v>600</v>
      </c>
      <c r="F135" s="13">
        <f t="shared" si="5"/>
        <v>1200</v>
      </c>
    </row>
    <row r="136" spans="1:6" x14ac:dyDescent="0.25">
      <c r="A136" s="25">
        <v>121</v>
      </c>
      <c r="B136" s="13" t="s">
        <v>404</v>
      </c>
      <c r="C136" s="13" t="s">
        <v>405</v>
      </c>
      <c r="D136" s="22">
        <v>10</v>
      </c>
      <c r="E136" s="13">
        <v>2000</v>
      </c>
      <c r="F136" s="13">
        <f t="shared" si="5"/>
        <v>20000</v>
      </c>
    </row>
    <row r="137" spans="1:6" x14ac:dyDescent="0.25">
      <c r="A137" s="25">
        <v>122</v>
      </c>
      <c r="B137" s="13" t="s">
        <v>406</v>
      </c>
      <c r="C137" s="13" t="s">
        <v>52</v>
      </c>
      <c r="D137" s="22">
        <v>1</v>
      </c>
      <c r="E137" s="13">
        <v>6000</v>
      </c>
      <c r="F137" s="13">
        <f t="shared" si="5"/>
        <v>6000</v>
      </c>
    </row>
    <row r="138" spans="1:6" x14ac:dyDescent="0.25">
      <c r="A138" s="25">
        <v>123</v>
      </c>
      <c r="B138" s="13" t="s">
        <v>407</v>
      </c>
      <c r="C138" s="13" t="s">
        <v>408</v>
      </c>
      <c r="D138" s="22">
        <v>50</v>
      </c>
      <c r="E138" s="7">
        <v>900</v>
      </c>
      <c r="F138" s="7">
        <f t="shared" si="5"/>
        <v>45000</v>
      </c>
    </row>
    <row r="139" spans="1:6" x14ac:dyDescent="0.25">
      <c r="A139" s="25">
        <v>124</v>
      </c>
      <c r="B139" s="13" t="s">
        <v>409</v>
      </c>
      <c r="C139" s="13" t="s">
        <v>408</v>
      </c>
      <c r="D139" s="22">
        <v>180</v>
      </c>
      <c r="E139" s="7">
        <v>300</v>
      </c>
      <c r="F139" s="7">
        <f t="shared" si="5"/>
        <v>54000</v>
      </c>
    </row>
    <row r="140" spans="1:6" x14ac:dyDescent="0.25">
      <c r="E140" s="7"/>
      <c r="F140" s="7">
        <f>SUM(F7:F139)</f>
        <v>3555300</v>
      </c>
    </row>
  </sheetData>
  <mergeCells count="3">
    <mergeCell ref="A3:F3"/>
    <mergeCell ref="A2:F2"/>
    <mergeCell ref="A1:F1"/>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2"/>
  <sheetViews>
    <sheetView tabSelected="1" workbookViewId="0">
      <selection sqref="A1:F1"/>
    </sheetView>
  </sheetViews>
  <sheetFormatPr defaultRowHeight="15" x14ac:dyDescent="0.25"/>
  <cols>
    <col min="1" max="1" width="24.5703125" style="3" customWidth="1"/>
    <col min="2" max="2" width="29.7109375" style="3" customWidth="1"/>
    <col min="3" max="3" width="17.5703125" style="3" customWidth="1"/>
    <col min="4" max="4" width="11.140625" style="1" customWidth="1"/>
    <col min="5" max="5" width="11.7109375" customWidth="1"/>
    <col min="6" max="6" width="13.28515625" customWidth="1"/>
  </cols>
  <sheetData>
    <row r="1" spans="1:6" x14ac:dyDescent="0.25">
      <c r="A1" s="39" t="s">
        <v>0</v>
      </c>
      <c r="B1" s="40"/>
      <c r="C1" s="40"/>
      <c r="D1" s="40"/>
      <c r="E1" s="40"/>
      <c r="F1" s="41"/>
    </row>
    <row r="2" spans="1:6" x14ac:dyDescent="0.25">
      <c r="A2" s="45" t="s">
        <v>1</v>
      </c>
      <c r="B2" s="48"/>
      <c r="C2" s="48"/>
      <c r="D2" s="50"/>
      <c r="E2" s="46"/>
      <c r="F2" s="47"/>
    </row>
    <row r="3" spans="1:6" x14ac:dyDescent="0.25">
      <c r="A3" s="42" t="s">
        <v>2</v>
      </c>
      <c r="B3" s="43"/>
      <c r="C3" s="43"/>
      <c r="D3" s="43"/>
      <c r="E3" s="43"/>
      <c r="F3" s="44"/>
    </row>
    <row r="4" spans="1:6" x14ac:dyDescent="0.25">
      <c r="A4" s="11" t="s">
        <v>3</v>
      </c>
      <c r="B4" s="11"/>
      <c r="C4" s="11"/>
      <c r="D4" s="23"/>
      <c r="E4" s="7"/>
      <c r="F4" s="7"/>
    </row>
    <row r="5" spans="1:6" ht="40.5" customHeight="1" x14ac:dyDescent="0.25">
      <c r="A5" s="11" t="s">
        <v>247</v>
      </c>
      <c r="B5" s="26" t="s">
        <v>410</v>
      </c>
      <c r="C5" s="11"/>
      <c r="D5" s="23"/>
      <c r="E5" s="7"/>
      <c r="F5" s="7"/>
    </row>
    <row r="6" spans="1:6" x14ac:dyDescent="0.25">
      <c r="A6" s="11" t="s">
        <v>30</v>
      </c>
      <c r="B6" s="11" t="s">
        <v>6</v>
      </c>
      <c r="C6" s="11" t="s">
        <v>31</v>
      </c>
      <c r="D6" s="24" t="s">
        <v>32</v>
      </c>
      <c r="E6" s="5" t="s">
        <v>33</v>
      </c>
      <c r="F6" s="5" t="s">
        <v>34</v>
      </c>
    </row>
    <row r="7" spans="1:6" ht="36" customHeight="1" x14ac:dyDescent="0.25">
      <c r="A7" s="8">
        <v>1</v>
      </c>
      <c r="B7" s="8" t="s">
        <v>411</v>
      </c>
      <c r="C7" s="8" t="s">
        <v>52</v>
      </c>
      <c r="D7" s="16">
        <v>1</v>
      </c>
      <c r="E7" s="13">
        <v>60000</v>
      </c>
      <c r="F7" s="13">
        <f t="shared" ref="F7:F21" si="0">D7*E7</f>
        <v>60000</v>
      </c>
    </row>
    <row r="8" spans="1:6" x14ac:dyDescent="0.25">
      <c r="A8" s="8">
        <v>2</v>
      </c>
      <c r="B8" s="8" t="s">
        <v>412</v>
      </c>
      <c r="C8" s="8" t="s">
        <v>52</v>
      </c>
      <c r="D8" s="16">
        <v>1</v>
      </c>
      <c r="E8" s="13">
        <v>12000</v>
      </c>
      <c r="F8" s="13">
        <f t="shared" si="0"/>
        <v>12000</v>
      </c>
    </row>
    <row r="9" spans="1:6" x14ac:dyDescent="0.25">
      <c r="A9" s="8">
        <v>3</v>
      </c>
      <c r="B9" s="8" t="s">
        <v>413</v>
      </c>
      <c r="C9" s="8" t="s">
        <v>52</v>
      </c>
      <c r="D9" s="16">
        <v>1</v>
      </c>
      <c r="E9" s="13">
        <v>4000</v>
      </c>
      <c r="F9" s="13">
        <f t="shared" si="0"/>
        <v>4000</v>
      </c>
    </row>
    <row r="10" spans="1:6" x14ac:dyDescent="0.25">
      <c r="A10" s="8">
        <v>4</v>
      </c>
      <c r="B10" s="8" t="s">
        <v>414</v>
      </c>
      <c r="C10" s="8" t="s">
        <v>52</v>
      </c>
      <c r="D10" s="16">
        <v>2</v>
      </c>
      <c r="E10" s="13">
        <v>3000</v>
      </c>
      <c r="F10" s="13">
        <f t="shared" si="0"/>
        <v>6000</v>
      </c>
    </row>
    <row r="11" spans="1:6" ht="36.75" customHeight="1" x14ac:dyDescent="0.25">
      <c r="A11" s="8">
        <v>5</v>
      </c>
      <c r="B11" s="8" t="s">
        <v>415</v>
      </c>
      <c r="C11" s="8" t="s">
        <v>52</v>
      </c>
      <c r="D11" s="16">
        <v>2</v>
      </c>
      <c r="E11" s="13">
        <v>9000</v>
      </c>
      <c r="F11" s="13">
        <f t="shared" si="0"/>
        <v>18000</v>
      </c>
    </row>
    <row r="12" spans="1:6" x14ac:dyDescent="0.25">
      <c r="A12" s="8">
        <v>6</v>
      </c>
      <c r="B12" s="8" t="s">
        <v>416</v>
      </c>
      <c r="C12" s="8" t="s">
        <v>52</v>
      </c>
      <c r="D12" s="16">
        <v>2</v>
      </c>
      <c r="E12" s="13">
        <v>3000</v>
      </c>
      <c r="F12" s="13">
        <f t="shared" si="0"/>
        <v>6000</v>
      </c>
    </row>
    <row r="13" spans="1:6" x14ac:dyDescent="0.25">
      <c r="A13" s="8">
        <v>7</v>
      </c>
      <c r="B13" s="8" t="s">
        <v>417</v>
      </c>
      <c r="C13" s="8" t="s">
        <v>52</v>
      </c>
      <c r="D13" s="16">
        <v>2</v>
      </c>
      <c r="E13" s="13">
        <v>8000</v>
      </c>
      <c r="F13" s="13">
        <f t="shared" si="0"/>
        <v>16000</v>
      </c>
    </row>
    <row r="14" spans="1:6" x14ac:dyDescent="0.25">
      <c r="A14" s="8">
        <v>8</v>
      </c>
      <c r="B14" s="8" t="s">
        <v>418</v>
      </c>
      <c r="C14" s="8" t="s">
        <v>52</v>
      </c>
      <c r="D14" s="16">
        <v>2</v>
      </c>
      <c r="E14" s="13">
        <v>500</v>
      </c>
      <c r="F14" s="13">
        <f t="shared" si="0"/>
        <v>1000</v>
      </c>
    </row>
    <row r="15" spans="1:6" x14ac:dyDescent="0.25">
      <c r="A15" s="8">
        <v>9</v>
      </c>
      <c r="B15" s="8" t="s">
        <v>419</v>
      </c>
      <c r="C15" s="8" t="s">
        <v>52</v>
      </c>
      <c r="D15" s="16">
        <v>1</v>
      </c>
      <c r="E15" s="13">
        <v>2000</v>
      </c>
      <c r="F15" s="13">
        <f t="shared" si="0"/>
        <v>2000</v>
      </c>
    </row>
    <row r="16" spans="1:6" x14ac:dyDescent="0.25">
      <c r="A16" s="8">
        <v>10</v>
      </c>
      <c r="B16" s="8" t="s">
        <v>420</v>
      </c>
      <c r="C16" s="8" t="s">
        <v>52</v>
      </c>
      <c r="D16" s="16">
        <v>2</v>
      </c>
      <c r="E16" s="13">
        <v>1500</v>
      </c>
      <c r="F16" s="13">
        <f t="shared" si="0"/>
        <v>3000</v>
      </c>
    </row>
    <row r="17" spans="1:6" x14ac:dyDescent="0.25">
      <c r="A17" s="8">
        <v>11</v>
      </c>
      <c r="B17" s="8" t="s">
        <v>421</v>
      </c>
      <c r="C17" s="8" t="s">
        <v>52</v>
      </c>
      <c r="D17" s="16">
        <v>5</v>
      </c>
      <c r="E17" s="13">
        <v>1200</v>
      </c>
      <c r="F17" s="13">
        <f t="shared" si="0"/>
        <v>6000</v>
      </c>
    </row>
    <row r="18" spans="1:6" ht="30" customHeight="1" x14ac:dyDescent="0.25">
      <c r="A18" s="8">
        <v>12</v>
      </c>
      <c r="B18" s="8" t="s">
        <v>422</v>
      </c>
      <c r="C18" s="8" t="s">
        <v>52</v>
      </c>
      <c r="D18" s="16">
        <v>1</v>
      </c>
      <c r="E18" s="13">
        <v>220000</v>
      </c>
      <c r="F18" s="13">
        <f t="shared" si="0"/>
        <v>220000</v>
      </c>
    </row>
    <row r="19" spans="1:6" ht="45" customHeight="1" x14ac:dyDescent="0.25">
      <c r="A19" s="8">
        <v>13</v>
      </c>
      <c r="B19" s="8" t="s">
        <v>423</v>
      </c>
      <c r="C19" s="8" t="s">
        <v>52</v>
      </c>
      <c r="D19" s="16">
        <v>2</v>
      </c>
      <c r="E19" s="13">
        <v>12000</v>
      </c>
      <c r="F19" s="13">
        <f t="shared" si="0"/>
        <v>24000</v>
      </c>
    </row>
    <row r="20" spans="1:6" x14ac:dyDescent="0.25">
      <c r="A20" s="8">
        <v>14</v>
      </c>
      <c r="B20" s="8" t="s">
        <v>424</v>
      </c>
      <c r="C20" s="8" t="s">
        <v>52</v>
      </c>
      <c r="D20" s="16">
        <v>2</v>
      </c>
      <c r="E20" s="13">
        <v>3000</v>
      </c>
      <c r="F20" s="13">
        <f t="shared" si="0"/>
        <v>6000</v>
      </c>
    </row>
    <row r="21" spans="1:6" ht="75" customHeight="1" x14ac:dyDescent="0.25">
      <c r="A21" s="8">
        <v>15</v>
      </c>
      <c r="B21" s="8" t="s">
        <v>425</v>
      </c>
      <c r="C21" s="8" t="s">
        <v>52</v>
      </c>
      <c r="D21" s="16">
        <v>1</v>
      </c>
      <c r="E21" s="13">
        <v>560000</v>
      </c>
      <c r="F21" s="13">
        <f t="shared" si="0"/>
        <v>560000</v>
      </c>
    </row>
    <row r="22" spans="1:6" x14ac:dyDescent="0.25">
      <c r="E22" s="13"/>
      <c r="F22" s="13">
        <f>SUM(F7:F21)</f>
        <v>944000</v>
      </c>
    </row>
  </sheetData>
  <mergeCells count="3">
    <mergeCell ref="A3:F3"/>
    <mergeCell ref="A2:F2"/>
    <mergeCell ref="A1:F1"/>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workbookViewId="0">
      <selection sqref="A1:F1"/>
    </sheetView>
  </sheetViews>
  <sheetFormatPr defaultRowHeight="15" x14ac:dyDescent="0.25"/>
  <cols>
    <col min="1" max="1" width="20.140625" style="2" customWidth="1"/>
    <col min="2" max="2" width="27.140625" customWidth="1"/>
    <col min="3" max="3" width="13" style="1" customWidth="1"/>
    <col min="4" max="4" width="13.85546875" customWidth="1"/>
    <col min="5" max="5" width="11.28515625" customWidth="1"/>
    <col min="6" max="6" width="13.28515625" customWidth="1"/>
  </cols>
  <sheetData>
    <row r="1" spans="1:6" x14ac:dyDescent="0.25">
      <c r="A1" s="39" t="s">
        <v>0</v>
      </c>
      <c r="B1" s="40"/>
      <c r="C1" s="40"/>
      <c r="D1" s="40"/>
      <c r="E1" s="40"/>
      <c r="F1" s="41"/>
    </row>
    <row r="2" spans="1:6" x14ac:dyDescent="0.25">
      <c r="A2" s="45" t="s">
        <v>1</v>
      </c>
      <c r="B2" s="46"/>
      <c r="C2" s="50"/>
      <c r="D2" s="46"/>
      <c r="E2" s="46"/>
      <c r="F2" s="47"/>
    </row>
    <row r="3" spans="1:6" x14ac:dyDescent="0.25">
      <c r="A3" s="42" t="s">
        <v>2</v>
      </c>
      <c r="B3" s="43"/>
      <c r="C3" s="43"/>
      <c r="D3" s="43"/>
      <c r="E3" s="43"/>
      <c r="F3" s="44"/>
    </row>
    <row r="4" spans="1:6" x14ac:dyDescent="0.25">
      <c r="A4" s="11" t="s">
        <v>3</v>
      </c>
      <c r="B4" s="11"/>
      <c r="C4" s="24"/>
      <c r="D4" s="23"/>
      <c r="E4" s="7"/>
      <c r="F4" s="7"/>
    </row>
    <row r="5" spans="1:6" x14ac:dyDescent="0.25">
      <c r="A5" s="11" t="s">
        <v>247</v>
      </c>
      <c r="B5" s="26" t="s">
        <v>426</v>
      </c>
      <c r="C5" s="24"/>
      <c r="D5" s="23"/>
      <c r="E5" s="7"/>
      <c r="F5" s="7"/>
    </row>
    <row r="6" spans="1:6" x14ac:dyDescent="0.25">
      <c r="A6" s="11" t="s">
        <v>30</v>
      </c>
      <c r="B6" s="11" t="s">
        <v>6</v>
      </c>
      <c r="C6" s="24" t="s">
        <v>31</v>
      </c>
      <c r="D6" s="24" t="s">
        <v>32</v>
      </c>
      <c r="E6" s="5" t="s">
        <v>33</v>
      </c>
      <c r="F6" s="5" t="s">
        <v>34</v>
      </c>
    </row>
    <row r="7" spans="1:6" ht="45" customHeight="1" x14ac:dyDescent="0.25">
      <c r="A7" s="25">
        <v>1</v>
      </c>
      <c r="B7" s="13" t="s">
        <v>427</v>
      </c>
      <c r="C7" s="16" t="s">
        <v>52</v>
      </c>
      <c r="D7" s="13">
        <v>1</v>
      </c>
      <c r="E7" s="13">
        <v>18000000</v>
      </c>
      <c r="F7" s="7">
        <f t="shared" ref="F7:F20" si="0">D7*E7</f>
        <v>18000000</v>
      </c>
    </row>
    <row r="8" spans="1:6" ht="45" customHeight="1" x14ac:dyDescent="0.25">
      <c r="A8" s="25">
        <v>2</v>
      </c>
      <c r="B8" s="13" t="s">
        <v>428</v>
      </c>
      <c r="C8" s="16" t="s">
        <v>52</v>
      </c>
      <c r="D8" s="13">
        <v>1</v>
      </c>
      <c r="E8" s="13">
        <v>12000000</v>
      </c>
      <c r="F8" s="7">
        <f t="shared" si="0"/>
        <v>12000000</v>
      </c>
    </row>
    <row r="9" spans="1:6" x14ac:dyDescent="0.25">
      <c r="A9" s="25">
        <v>3</v>
      </c>
      <c r="B9" s="13" t="s">
        <v>429</v>
      </c>
      <c r="C9" s="16" t="s">
        <v>52</v>
      </c>
      <c r="D9" s="13">
        <v>1</v>
      </c>
      <c r="E9" s="13">
        <v>7000000</v>
      </c>
      <c r="F9" s="7">
        <f t="shared" si="0"/>
        <v>7000000</v>
      </c>
    </row>
    <row r="10" spans="1:6" ht="30" customHeight="1" x14ac:dyDescent="0.25">
      <c r="A10" s="25">
        <v>4</v>
      </c>
      <c r="B10" s="13" t="s">
        <v>430</v>
      </c>
      <c r="C10" s="16" t="s">
        <v>52</v>
      </c>
      <c r="D10" s="13">
        <v>1</v>
      </c>
      <c r="E10" s="13">
        <v>350000</v>
      </c>
      <c r="F10" s="7">
        <f t="shared" si="0"/>
        <v>350000</v>
      </c>
    </row>
    <row r="11" spans="1:6" ht="30" customHeight="1" x14ac:dyDescent="0.25">
      <c r="A11" s="25">
        <v>5</v>
      </c>
      <c r="B11" s="13" t="s">
        <v>431</v>
      </c>
      <c r="C11" s="16" t="s">
        <v>52</v>
      </c>
      <c r="D11" s="13">
        <v>1</v>
      </c>
      <c r="E11" s="13">
        <v>9000000</v>
      </c>
      <c r="F11" s="7">
        <f t="shared" si="0"/>
        <v>9000000</v>
      </c>
    </row>
    <row r="12" spans="1:6" x14ac:dyDescent="0.25">
      <c r="A12" s="25">
        <v>6</v>
      </c>
      <c r="B12" s="13" t="s">
        <v>432</v>
      </c>
      <c r="C12" s="16" t="s">
        <v>52</v>
      </c>
      <c r="D12" s="13">
        <v>6</v>
      </c>
      <c r="E12" s="13">
        <v>6500000</v>
      </c>
      <c r="F12" s="7">
        <f t="shared" si="0"/>
        <v>39000000</v>
      </c>
    </row>
    <row r="13" spans="1:6" x14ac:dyDescent="0.25">
      <c r="A13" s="25">
        <v>7</v>
      </c>
      <c r="B13" s="13" t="s">
        <v>433</v>
      </c>
      <c r="C13" s="16" t="s">
        <v>52</v>
      </c>
      <c r="D13" s="13">
        <v>1</v>
      </c>
      <c r="E13" s="13">
        <v>120000</v>
      </c>
      <c r="F13" s="7">
        <f t="shared" si="0"/>
        <v>120000</v>
      </c>
    </row>
    <row r="14" spans="1:6" ht="30" customHeight="1" x14ac:dyDescent="0.25">
      <c r="A14" s="25">
        <v>8</v>
      </c>
      <c r="B14" s="13" t="s">
        <v>434</v>
      </c>
      <c r="C14" s="16" t="s">
        <v>52</v>
      </c>
      <c r="D14" s="13">
        <v>2</v>
      </c>
      <c r="E14" s="13">
        <v>350000</v>
      </c>
      <c r="F14" s="7">
        <f t="shared" si="0"/>
        <v>700000</v>
      </c>
    </row>
    <row r="15" spans="1:6" x14ac:dyDescent="0.25">
      <c r="A15" s="25">
        <v>9</v>
      </c>
      <c r="B15" s="13" t="s">
        <v>435</v>
      </c>
      <c r="C15" s="16" t="s">
        <v>52</v>
      </c>
      <c r="D15" s="13">
        <v>1</v>
      </c>
      <c r="E15" s="13">
        <v>6000000</v>
      </c>
      <c r="F15" s="7">
        <f t="shared" si="0"/>
        <v>6000000</v>
      </c>
    </row>
    <row r="16" spans="1:6" ht="30" customHeight="1" x14ac:dyDescent="0.25">
      <c r="A16" s="25">
        <v>10</v>
      </c>
      <c r="B16" s="13" t="s">
        <v>436</v>
      </c>
      <c r="C16" s="16" t="s">
        <v>52</v>
      </c>
      <c r="D16" s="13">
        <v>1</v>
      </c>
      <c r="E16" s="13">
        <v>11000000</v>
      </c>
      <c r="F16" s="7">
        <f t="shared" si="0"/>
        <v>11000000</v>
      </c>
    </row>
    <row r="17" spans="1:6" ht="30" customHeight="1" x14ac:dyDescent="0.25">
      <c r="A17" s="25">
        <v>11</v>
      </c>
      <c r="B17" s="13" t="s">
        <v>437</v>
      </c>
      <c r="C17" s="16" t="s">
        <v>52</v>
      </c>
      <c r="D17" s="13">
        <v>2</v>
      </c>
      <c r="E17" s="13">
        <v>4500000</v>
      </c>
      <c r="F17" s="7">
        <f t="shared" si="0"/>
        <v>9000000</v>
      </c>
    </row>
    <row r="18" spans="1:6" ht="45" customHeight="1" x14ac:dyDescent="0.25">
      <c r="A18" s="25">
        <v>12</v>
      </c>
      <c r="B18" s="13" t="s">
        <v>438</v>
      </c>
      <c r="C18" s="16" t="s">
        <v>52</v>
      </c>
      <c r="D18" s="13">
        <v>1</v>
      </c>
      <c r="E18" s="13">
        <v>2200000</v>
      </c>
      <c r="F18" s="7">
        <f t="shared" si="0"/>
        <v>2200000</v>
      </c>
    </row>
    <row r="19" spans="1:6" ht="30" customHeight="1" x14ac:dyDescent="0.25">
      <c r="A19" s="25">
        <v>13</v>
      </c>
      <c r="B19" s="13" t="s">
        <v>439</v>
      </c>
      <c r="C19" s="16" t="s">
        <v>52</v>
      </c>
      <c r="D19" s="13">
        <v>2</v>
      </c>
      <c r="E19" s="13">
        <v>45000</v>
      </c>
      <c r="F19" s="7">
        <f t="shared" si="0"/>
        <v>90000</v>
      </c>
    </row>
    <row r="20" spans="1:6" ht="45" customHeight="1" x14ac:dyDescent="0.25">
      <c r="A20" s="25">
        <v>14</v>
      </c>
      <c r="B20" s="13" t="s">
        <v>440</v>
      </c>
      <c r="C20" s="16" t="s">
        <v>52</v>
      </c>
      <c r="D20" s="13">
        <v>2</v>
      </c>
      <c r="E20" s="13">
        <v>8000000</v>
      </c>
      <c r="F20" s="7">
        <f t="shared" si="0"/>
        <v>16000000</v>
      </c>
    </row>
    <row r="21" spans="1:6" x14ac:dyDescent="0.25">
      <c r="E21" s="13"/>
      <c r="F21" s="7">
        <f>SUM(F7:F20)</f>
        <v>130460000</v>
      </c>
    </row>
  </sheetData>
  <mergeCells count="3">
    <mergeCell ref="A3:F3"/>
    <mergeCell ref="A2:F2"/>
    <mergeCell ref="A1:F1"/>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1"/>
  <sheetViews>
    <sheetView workbookViewId="0"/>
  </sheetViews>
  <sheetFormatPr defaultRowHeight="15" x14ac:dyDescent="0.25"/>
  <cols>
    <col min="1" max="1" width="24" customWidth="1"/>
    <col min="2" max="2" width="60" customWidth="1"/>
    <col min="3" max="3" width="70" customWidth="1"/>
  </cols>
  <sheetData>
    <row r="1" spans="1:3" ht="18.75" x14ac:dyDescent="0.3">
      <c r="A1" s="33" t="s">
        <v>441</v>
      </c>
    </row>
    <row r="3" spans="1:3" x14ac:dyDescent="0.25">
      <c r="A3" s="34" t="s">
        <v>442</v>
      </c>
      <c r="B3" s="34" t="s">
        <v>443</v>
      </c>
      <c r="C3" s="34" t="s">
        <v>444</v>
      </c>
    </row>
    <row r="4" spans="1:3" ht="30" x14ac:dyDescent="0.25">
      <c r="A4" s="35" t="s">
        <v>445</v>
      </c>
      <c r="B4" s="35" t="s">
        <v>446</v>
      </c>
      <c r="C4" s="35" t="s">
        <v>447</v>
      </c>
    </row>
    <row r="5" spans="1:3" ht="45" x14ac:dyDescent="0.25">
      <c r="A5" s="35" t="s">
        <v>448</v>
      </c>
      <c r="B5" s="35" t="s">
        <v>449</v>
      </c>
      <c r="C5" s="35" t="s">
        <v>450</v>
      </c>
    </row>
    <row r="6" spans="1:3" ht="30" x14ac:dyDescent="0.25">
      <c r="A6" s="35" t="s">
        <v>451</v>
      </c>
      <c r="B6" s="35" t="s">
        <v>452</v>
      </c>
      <c r="C6" s="35" t="s">
        <v>453</v>
      </c>
    </row>
    <row r="7" spans="1:3" ht="45" x14ac:dyDescent="0.25">
      <c r="A7" s="35" t="s">
        <v>454</v>
      </c>
      <c r="B7" s="35" t="s">
        <v>455</v>
      </c>
      <c r="C7" s="35" t="s">
        <v>456</v>
      </c>
    </row>
    <row r="8" spans="1:3" ht="45" x14ac:dyDescent="0.25">
      <c r="A8" s="35" t="s">
        <v>457</v>
      </c>
      <c r="B8" s="35" t="s">
        <v>458</v>
      </c>
      <c r="C8" s="35" t="s">
        <v>459</v>
      </c>
    </row>
    <row r="9" spans="1:3" ht="60" x14ac:dyDescent="0.25">
      <c r="A9" s="35" t="s">
        <v>460</v>
      </c>
      <c r="B9" s="35" t="s">
        <v>461</v>
      </c>
      <c r="C9" s="35" t="s">
        <v>462</v>
      </c>
    </row>
    <row r="10" spans="1:3" ht="30" x14ac:dyDescent="0.25">
      <c r="A10" s="35" t="s">
        <v>463</v>
      </c>
      <c r="B10" s="35" t="s">
        <v>464</v>
      </c>
      <c r="C10" s="35" t="s">
        <v>465</v>
      </c>
    </row>
    <row r="11" spans="1:3" ht="30" x14ac:dyDescent="0.25">
      <c r="A11" s="35" t="s">
        <v>466</v>
      </c>
      <c r="B11" s="35" t="s">
        <v>467</v>
      </c>
      <c r="C11" s="35"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BoQ Summary</vt:lpstr>
      <vt:lpstr>BoQ 1; Preliminaries</vt:lpstr>
      <vt:lpstr>BoQ 4; Site Clearance</vt:lpstr>
      <vt:lpstr>BoQ 5; Earthworks</vt:lpstr>
      <vt:lpstr>BoQ 7; Excavation</vt:lpstr>
      <vt:lpstr>BoQ 10&amp;20; Gravel &amp; RDfurniture</vt:lpstr>
      <vt:lpstr>BoQ 22; Dayworks</vt:lpstr>
      <vt:lpstr>Engineers office</vt:lpstr>
      <vt:lpstr>Engineers lab equipment</vt:lpstr>
      <vt:lpstr>Survey Equipment</vt:lpstr>
      <vt:lpstr>Contractor's Equipment</vt:lpstr>
      <vt:lpstr>Basis of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Rono</cp:lastModifiedBy>
  <dcterms:modified xsi:type="dcterms:W3CDTF">2026-03-16T08:35:36Z</dcterms:modified>
</cp:coreProperties>
</file>